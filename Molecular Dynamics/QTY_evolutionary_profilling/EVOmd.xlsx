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erkaragol/Downloads/QTY_evolutionary_profilling/"/>
    </mc:Choice>
  </mc:AlternateContent>
  <xr:revisionPtr revIDLastSave="0" documentId="13_ncr:1_{7A2F0527-CC6F-8549-8FAE-6A07EE33CE55}" xr6:coauthVersionLast="47" xr6:coauthVersionMax="47" xr10:uidLastSave="{00000000-0000-0000-0000-000000000000}"/>
  <bookViews>
    <workbookView xWindow="680" yWindow="760" windowWidth="28040" windowHeight="16800" xr2:uid="{4BBE16CF-60B6-F641-B0CB-42C0F3ED16F8}"/>
  </bookViews>
  <sheets>
    <sheet name="SYNGR1" sheetId="1" r:id="rId1"/>
    <sheet name="Sheet4" sheetId="4" r:id="rId2"/>
    <sheet name="SV2A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3" i="2" l="1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26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172" i="2"/>
  <c r="N164" i="2"/>
  <c r="N165" i="2"/>
  <c r="N166" i="2"/>
  <c r="N167" i="2"/>
  <c r="N168" i="2"/>
  <c r="N169" i="2"/>
  <c r="N170" i="2"/>
  <c r="N171" i="2"/>
  <c r="N163" i="2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29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39" i="1"/>
  <c r="M31" i="1"/>
  <c r="M32" i="1"/>
  <c r="M33" i="1"/>
  <c r="M34" i="1"/>
  <c r="M35" i="1"/>
  <c r="M36" i="1"/>
  <c r="M37" i="1"/>
  <c r="M38" i="1"/>
  <c r="M30" i="1"/>
  <c r="A17" i="2" a="1"/>
  <c r="A17" i="2" s="1"/>
  <c r="A18" i="2" a="1"/>
  <c r="A18" i="2" s="1"/>
  <c r="A20" i="2" a="1"/>
  <c r="A20" i="2" s="1"/>
  <c r="A17" i="1" a="1"/>
  <c r="A17" i="1" s="1"/>
  <c r="A18" i="1" a="1"/>
  <c r="A18" i="1" s="1"/>
  <c r="A20" i="1" a="1"/>
  <c r="A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<sst xmlns="http://schemas.openxmlformats.org/spreadsheetml/2006/main" count="8450" uniqueCount="2987">
  <si>
    <t xml:space="preserve"> Amino Acid Conservation Scores</t>
  </si>
  <si>
    <t>=======================================</t>
  </si>
  <si>
    <t>The layers for assigning grades are as follows.</t>
  </si>
  <si>
    <t>from -1.284 to -0.999 the grade is 9</t>
  </si>
  <si>
    <t>from -0.999 to -0.713 the grade is 8</t>
  </si>
  <si>
    <t>from -0.713 to -0.428 the grade is 7</t>
  </si>
  <si>
    <t>from -0.428 to -0.143 the grade is 6</t>
  </si>
  <si>
    <t>from -0.143 to  0.326 the grade is 5</t>
  </si>
  <si>
    <t>from  0.326 to  0.977 the grade is 4</t>
  </si>
  <si>
    <t>from  0.977 to  1.629 the grade is 3</t>
  </si>
  <si>
    <t>from  1.629 to  2.280 the grade is 2</t>
  </si>
  <si>
    <t>from  2.280 to  2.932 the grade is 1</t>
  </si>
  <si>
    <t>If the difference between the colors of the CONFIDENCE INTERVAL COLORS is more than 3 or the msa number (under the column titled MSA) is less than 6, there is insufficient data and an * appears in the COLOR column.</t>
  </si>
  <si>
    <t>- ATOM: When there's a model, The ATOM derived sequence in three letter code, including the acid's positions as they appear in the PDB file and the chain identifier.</t>
  </si>
  <si>
    <t>- COLOR: The color scale representing the conservation scores (9 - conserved, 1 - variable).</t>
  </si>
  <si>
    <t>- CONFIDENCE INTERVAL: When using the bayesian method for calculating rates, a confidence interval is assigned to each of the inferred evolutionary conservation scores, next to it are the colors of the lower and upper bounds of the confidence interval</t>
  </si>
  <si>
    <t>- B/E: Burried (b) or Exposed (e) residue.</t>
  </si>
  <si>
    <t>- F/S: functional (f) or structural (s) residue (f - highly conserved and exposed, s - highly conserved and burried).</t>
  </si>
  <si>
    <t>- MSA DATA: The number of aligned sequences having an acid (non-gapped) from the overall number of sequences at each position.</t>
  </si>
  <si>
    <t>- RESIDUE VARIETY: The residues variety at each position of the multiple sequence alignment.</t>
  </si>
  <si>
    <t>POS</t>
  </si>
  <si>
    <t>SEQ</t>
  </si>
  <si>
    <t xml:space="preserve">     ATOM</t>
  </si>
  <si>
    <t xml:space="preserve"> SCORE</t>
  </si>
  <si>
    <t>COLOR</t>
  </si>
  <si>
    <t>CONFIDENCE INTERVAL</t>
  </si>
  <si>
    <t>B/E</t>
  </si>
  <si>
    <t>F/S</t>
  </si>
  <si>
    <t>MSA DATA</t>
  </si>
  <si>
    <t>RESIDUE VARIETY</t>
  </si>
  <si>
    <t xml:space="preserve">  M</t>
  </si>
  <si>
    <t xml:space="preserve">  MET:1:A</t>
  </si>
  <si>
    <t>-1.194, -0.959  9,8</t>
  </si>
  <si>
    <t xml:space="preserve">  e</t>
  </si>
  <si>
    <t xml:space="preserve">  f</t>
  </si>
  <si>
    <t xml:space="preserve">  51/150</t>
  </si>
  <si>
    <t>M 90%, E  7%, Q  1%</t>
  </si>
  <si>
    <t xml:space="preserve">  E</t>
  </si>
  <si>
    <t xml:space="preserve">  GLU:2:A</t>
  </si>
  <si>
    <t>-0.176,  0.540  6,4</t>
  </si>
  <si>
    <t xml:space="preserve">   </t>
  </si>
  <si>
    <t xml:space="preserve">  54/150</t>
  </si>
  <si>
    <t>E 51%, Q 24%, D  7%, G  7%, S  5%, N  3%</t>
  </si>
  <si>
    <t xml:space="preserve">  G</t>
  </si>
  <si>
    <t xml:space="preserve">  GLY:3:A</t>
  </si>
  <si>
    <t xml:space="preserve"> 0.346,  1.106  4,3</t>
  </si>
  <si>
    <t xml:space="preserve">  78/150</t>
  </si>
  <si>
    <t>G 56%, S 17%, A  8%, T  3%, V  3%, Q  2%, R  1%, N  1%, E  1%, P  1%, I  1%</t>
  </si>
  <si>
    <t xml:space="preserve">  GLY:4:A</t>
  </si>
  <si>
    <t>-0.071,  0.346  5,4</t>
  </si>
  <si>
    <t xml:space="preserve"> 104/150</t>
  </si>
  <si>
    <t>G 57%, S 16%, Q  9%, A  5%, T  5%, N  2%, M &lt;1%, R &lt;1%</t>
  </si>
  <si>
    <t xml:space="preserve">  A</t>
  </si>
  <si>
    <t xml:space="preserve">  ALA:5:A</t>
  </si>
  <si>
    <t>-1.159, -1.002  9,9</t>
  </si>
  <si>
    <t xml:space="preserve"> 111/150</t>
  </si>
  <si>
    <t>A 81%, S 13%, V  3%, F &lt;1%, L &lt;1%</t>
  </si>
  <si>
    <t xml:space="preserve">  Y</t>
  </si>
  <si>
    <t xml:space="preserve">  TYR:6:A</t>
  </si>
  <si>
    <t>-0.959, -0.645  8,7</t>
  </si>
  <si>
    <t xml:space="preserve"> 112/150</t>
  </si>
  <si>
    <t>Y 83%, F 16%, W &lt;1%</t>
  </si>
  <si>
    <t xml:space="preserve">  GLY:7:A</t>
  </si>
  <si>
    <t>-1.293, -1.159  9,9</t>
  </si>
  <si>
    <t xml:space="preserve">  b</t>
  </si>
  <si>
    <t xml:space="preserve">  s</t>
  </si>
  <si>
    <t xml:space="preserve"> 113/150</t>
  </si>
  <si>
    <t>G 99%, A &lt;1%</t>
  </si>
  <si>
    <t xml:space="preserve">  ALA:8:A</t>
  </si>
  <si>
    <t>-1.159, -0.959  9,8</t>
  </si>
  <si>
    <t>A 79%, G 15%, V  2%, S  1%, L &lt;1%</t>
  </si>
  <si>
    <t xml:space="preserve">  GLY:9:A</t>
  </si>
  <si>
    <t>-0.913, -0.645  8,7</t>
  </si>
  <si>
    <t>G 60%, S 22%, A 14%, M &lt;1%, P &lt;1%, T &lt;1%</t>
  </si>
  <si>
    <t xml:space="preserve">  K</t>
  </si>
  <si>
    <t xml:space="preserve"> LYS:10:A</t>
  </si>
  <si>
    <t>-0.865, -0.582  8,7</t>
  </si>
  <si>
    <t>K 56%, L 22%, R 16%, M  3%, F &lt;1%</t>
  </si>
  <si>
    <t xml:space="preserve"> ALA:11:A</t>
  </si>
  <si>
    <t>-1.194, -1.044  9,9</t>
  </si>
  <si>
    <t xml:space="preserve"> 114/150</t>
  </si>
  <si>
    <t>A 93%, T  4%, S  1%</t>
  </si>
  <si>
    <t xml:space="preserve"> GLY:12:A</t>
  </si>
  <si>
    <t>-1.159, -0.913  9,8</t>
  </si>
  <si>
    <t xml:space="preserve"> 115/150</t>
  </si>
  <si>
    <t>G 96%, A  1%, I &lt;1%, E &lt;1%</t>
  </si>
  <si>
    <t xml:space="preserve"> GLY:13:A</t>
  </si>
  <si>
    <t>-0.273,  0.187  6,5</t>
  </si>
  <si>
    <t xml:space="preserve"> 117/150</t>
  </si>
  <si>
    <t>G 75%, A 11%, S  5%, T  1%, R  1%, Q  1%, M &lt;1%, V &lt;1%</t>
  </si>
  <si>
    <t xml:space="preserve"> ALA:14:A</t>
  </si>
  <si>
    <t>-0.071,  0.540  5,4</t>
  </si>
  <si>
    <t xml:space="preserve"> 116/150</t>
  </si>
  <si>
    <t>A 56%, G 11%, T  8%, S  8%, P  8%, V  3%, E  2%, R &lt;1%</t>
  </si>
  <si>
    <t xml:space="preserve">  F</t>
  </si>
  <si>
    <t xml:space="preserve"> PHE:15:A</t>
  </si>
  <si>
    <t>F 92%, V  2%, L  2%, I  1%, S &lt;1%</t>
  </si>
  <si>
    <t xml:space="preserve">  D</t>
  </si>
  <si>
    <t xml:space="preserve"> ASP:16:A</t>
  </si>
  <si>
    <t>-1.122, -0.959  9,8</t>
  </si>
  <si>
    <t>D 93%, N  3%, E  2%, G &lt;1%</t>
  </si>
  <si>
    <t xml:space="preserve">  P</t>
  </si>
  <si>
    <t xml:space="preserve"> PRO:17:A</t>
  </si>
  <si>
    <t>P 64%, L 15%, F 11%, V  2%, I  2%, T &lt;1%, A &lt;1%, X &lt;1%</t>
  </si>
  <si>
    <t xml:space="preserve"> TYR:18:A</t>
  </si>
  <si>
    <t xml:space="preserve"> 1.609,  2.933  3,1</t>
  </si>
  <si>
    <t xml:space="preserve"> 118/150</t>
  </si>
  <si>
    <t>I 22%, V 17%, L 16%, Q  8%, Y  4%, F  4%, M  4%, E  4%, H  3%, R  3%, G  3%, W  2%, A  1%, N  1%, T &lt;1%, K &lt;1%</t>
  </si>
  <si>
    <t xml:space="preserve">  T</t>
  </si>
  <si>
    <t xml:space="preserve"> THR:19:A</t>
  </si>
  <si>
    <t xml:space="preserve"> 0.187,  0.782  5,4</t>
  </si>
  <si>
    <t xml:space="preserve"> 122/150</t>
  </si>
  <si>
    <t>T 30%, S 18%, A 14%, R  7%, K  7%, E  5%, D  3%, N  3%, G  3%, Q  3%, H  1%, M &lt;1%</t>
  </si>
  <si>
    <t xml:space="preserve">  L</t>
  </si>
  <si>
    <t xml:space="preserve"> LEU:20:A</t>
  </si>
  <si>
    <t>-0.815, -0.440  8,7</t>
  </si>
  <si>
    <t xml:space="preserve"> 124/150</t>
  </si>
  <si>
    <t>F 86%, L  8%, V  3%, Y  2%</t>
  </si>
  <si>
    <t xml:space="preserve">  V</t>
  </si>
  <si>
    <t xml:space="preserve"> VAL:21:A</t>
  </si>
  <si>
    <t xml:space="preserve"> 0.782,  1.609  4,3</t>
  </si>
  <si>
    <t xml:space="preserve"> 125/150</t>
  </si>
  <si>
    <t>V 31%, L 24%, I 24%, F 10%, A  5%, S &lt;1%, T &lt;1%, M &lt;1%, R &lt;1%</t>
  </si>
  <si>
    <t xml:space="preserve">  R</t>
  </si>
  <si>
    <t xml:space="preserve"> ARG:22:A</t>
  </si>
  <si>
    <t>-0.273,  0.050  6,5</t>
  </si>
  <si>
    <t>K 36%, Q 32%, R 23%, T  3%, L  1%, M &lt;1%, A &lt;1%, I &lt;1%</t>
  </si>
  <si>
    <t xml:space="preserve">  Q</t>
  </si>
  <si>
    <t xml:space="preserve"> GLN:23:A</t>
  </si>
  <si>
    <t>-0.645, -0.273  7,6</t>
  </si>
  <si>
    <t>Q 60%, R 25%, K 10%, H  2%, E  1%</t>
  </si>
  <si>
    <t xml:space="preserve"> PRO:24:A</t>
  </si>
  <si>
    <t>-1.194, -1.002  9,9</t>
  </si>
  <si>
    <t xml:space="preserve"> 126/150</t>
  </si>
  <si>
    <t>P 96%, H &lt;1%, S &lt;1%, N &lt;1%, T &lt;1%</t>
  </si>
  <si>
    <t xml:space="preserve">  H</t>
  </si>
  <si>
    <t xml:space="preserve"> HIS:25:A</t>
  </si>
  <si>
    <t>-0.440, -0.071  7,5</t>
  </si>
  <si>
    <t>Q 64%, H 15%, R  4%, K  4%, A  3%, P  1%, V  1%, G &lt;1%, T &lt;1%, I &lt;1%, Y &lt;1%, L &lt;1%</t>
  </si>
  <si>
    <t xml:space="preserve"> THR:26:A</t>
  </si>
  <si>
    <t>-0.959, -0.762  8,8</t>
  </si>
  <si>
    <t>T 61%, V 30%, S  3%, P  1%, I  1%, N &lt;1%, A &lt;1%</t>
  </si>
  <si>
    <t xml:space="preserve">  I</t>
  </si>
  <si>
    <t xml:space="preserve"> ILE:27:A</t>
  </si>
  <si>
    <t>I 69%, V 18%, L  7%, G  1%, C &lt;1%, M &lt;1%, T &lt;1%</t>
  </si>
  <si>
    <t xml:space="preserve"> LEU:28:A</t>
  </si>
  <si>
    <t xml:space="preserve"> 0.050,  0.782  5,4</t>
  </si>
  <si>
    <t xml:space="preserve"> 128/150</t>
  </si>
  <si>
    <t>L 64%, V 15%, T  6%, A  6%, I  2%, M  1%, K &lt;1%, G &lt;1%, P &lt;1%, C &lt;1%, S &lt;1%</t>
  </si>
  <si>
    <t xml:space="preserve"> ARG:29:A</t>
  </si>
  <si>
    <t>R 93%, K  3%, C &lt;1%, S &lt;1%, A &lt;1%, H &lt;1%</t>
  </si>
  <si>
    <t xml:space="preserve"> VAL:30:A</t>
  </si>
  <si>
    <t>I 32%, L 17%, A 14%, V 13%, F  9%, C  6%, M  3%, S  1%, G  1%, P &lt;1%, K &lt;1%</t>
  </si>
  <si>
    <t xml:space="preserve"> VAL:31:A</t>
  </si>
  <si>
    <t xml:space="preserve"> 133/150</t>
  </si>
  <si>
    <t>L 43%, V 36%, A  5%, I  3%, T  3%, F  3%, S  2%, P  1%, Q &lt;1%, C &lt;1%</t>
  </si>
  <si>
    <t xml:space="preserve">  S</t>
  </si>
  <si>
    <t xml:space="preserve"> SER:32:A</t>
  </si>
  <si>
    <t xml:space="preserve"> 139/150</t>
  </si>
  <si>
    <t>S 51%, C 23%, A 10%, P  2%, L  2%, G  2%, T  1%, Y  1%, I &lt;1%, N &lt;1%, Q &lt;1%, V &lt;1%, E &lt;1%</t>
  </si>
  <si>
    <t xml:space="preserve">  W</t>
  </si>
  <si>
    <t xml:space="preserve"> TRP:33:A</t>
  </si>
  <si>
    <t xml:space="preserve"> 143/150</t>
  </si>
  <si>
    <t>W 62%, L  8%, Q  7%, A  6%, G  6%, K  1%, T  1%, M  1%, I  1%, C &lt;1%, E &lt;1%, F &lt;1%, V &lt;1%</t>
  </si>
  <si>
    <t xml:space="preserve"> LEU:34:A</t>
  </si>
  <si>
    <t xml:space="preserve"> 149/150</t>
  </si>
  <si>
    <t>L 41%, V 36%, I 20%, F &lt;1%</t>
  </si>
  <si>
    <t xml:space="preserve"> PHE:35:A</t>
  </si>
  <si>
    <t>F 97%, L &lt;1%, M &lt;1%, A &lt;1%, V &lt;1%</t>
  </si>
  <si>
    <t xml:space="preserve"> SER:36:A</t>
  </si>
  <si>
    <t>-0.706, -0.440  7,7</t>
  </si>
  <si>
    <t>S 63%, A 34%, G  2%</t>
  </si>
  <si>
    <t xml:space="preserve"> ILE:37:A</t>
  </si>
  <si>
    <t>-0.762, -0.513  8,7</t>
  </si>
  <si>
    <t>I 63%, L 24%, V  6%, M  5%</t>
  </si>
  <si>
    <t xml:space="preserve"> VAL:38:A</t>
  </si>
  <si>
    <t>V 65%, I 34%</t>
  </si>
  <si>
    <t xml:space="preserve"> VAL:39:A</t>
  </si>
  <si>
    <t>-1.261, -1.122  9,9</t>
  </si>
  <si>
    <t>V 86%, I 13%</t>
  </si>
  <si>
    <t xml:space="preserve"> PHE:40:A</t>
  </si>
  <si>
    <t>-1.084, -0.865  9,8</t>
  </si>
  <si>
    <t>F 94%, L  3%, M &lt;1%, W &lt;1%, Y &lt;1%</t>
  </si>
  <si>
    <t xml:space="preserve"> GLY:41:A</t>
  </si>
  <si>
    <t>-0.762, -0.440  8,7</t>
  </si>
  <si>
    <t>G 57%, A 22%, S 18%, C  1%, W &lt;1%</t>
  </si>
  <si>
    <t xml:space="preserve"> SER:42:A</t>
  </si>
  <si>
    <t>C 55%, S 31%, T 12%, G &lt;1%</t>
  </si>
  <si>
    <t xml:space="preserve"> ILE:43:A</t>
  </si>
  <si>
    <t>-1.228, -1.084  9,9</t>
  </si>
  <si>
    <t>I 86%, L  8%, V  4%, M &lt;1%</t>
  </si>
  <si>
    <t xml:space="preserve"> VAL:44:A</t>
  </si>
  <si>
    <t>-0.706, -0.360  7,6</t>
  </si>
  <si>
    <t>V 24%, S 20%, T 18%, A 14%, L  8%, I  7%, F  6%</t>
  </si>
  <si>
    <t xml:space="preserve">  N</t>
  </si>
  <si>
    <t xml:space="preserve"> ASN:45:A</t>
  </si>
  <si>
    <t>N 40%, S 21%, G 16%, A 13%, T  7%, Q &lt;1%, D &lt;1%</t>
  </si>
  <si>
    <t xml:space="preserve"> GLU:46:A</t>
  </si>
  <si>
    <t>E 75%, Q 10%, D  5%, G  5%, K  3%, N &lt;1%</t>
  </si>
  <si>
    <t xml:space="preserve"> GLY:47:A</t>
  </si>
  <si>
    <t>-1.002, -0.762  9,8</t>
  </si>
  <si>
    <t>G 90%, C  4%, A  3%, S  1%</t>
  </si>
  <si>
    <t xml:space="preserve"> TYR:48:A</t>
  </si>
  <si>
    <t>-0.582, -0.176  7,6</t>
  </si>
  <si>
    <t>Y 80%, W 13%, F  2%, H  1%, Q &lt;1%, S &lt;1%, K &lt;1%, R &lt;1%</t>
  </si>
  <si>
    <t xml:space="preserve"> LEU:49:A</t>
  </si>
  <si>
    <t xml:space="preserve"> 0.540,  1.106  4,3</t>
  </si>
  <si>
    <t xml:space="preserve"> 148/150</t>
  </si>
  <si>
    <t>V 29%, I 23%, L 10%, T  8%, S  6%, M  5%, Q  5%, R  4%, Y  3%, A  1%, K &lt;1%, N &lt;1%, P &lt;1%</t>
  </si>
  <si>
    <t xml:space="preserve"> ASN:50:A</t>
  </si>
  <si>
    <t>N 85%, S  3%, P  3%, Y  2%, K  2%, L  1%, V &lt;1%, I &lt;1%, T &lt;1%</t>
  </si>
  <si>
    <t xml:space="preserve"> SER:51:A</t>
  </si>
  <si>
    <t xml:space="preserve"> 129/150</t>
  </si>
  <si>
    <t>R 18%, S 13%, T 10%, P 10%, K  9%, D  7%, I  6%, N  3%, Q  3%, V  3%, L  3%, A  2%, E  2%, H  1%, M  1%, Y &lt;1%, F &lt;1%, G &lt;1%</t>
  </si>
  <si>
    <t xml:space="preserve"> ALA:52:A</t>
  </si>
  <si>
    <t xml:space="preserve"> 138/150</t>
  </si>
  <si>
    <t>P 31%, G 11%, H 10%, D 10%, T  6%, S  5%, A  5%, L  4%, K  4%, N  2%, E  2%, I  1%, V &lt;1%, Q &lt;1%, Y &lt;1%, M &lt;1%</t>
  </si>
  <si>
    <t xml:space="preserve"> SER:53:A</t>
  </si>
  <si>
    <t>E 20%, D 13%, S 11%, K 11%, T  8%, H  8%, N  6%, Q  5%, V  4%, R  4%, L  2%, G  1%, A &lt;1%, I &lt;1%, F &lt;1%</t>
  </si>
  <si>
    <t xml:space="preserve"> GLU:54:A</t>
  </si>
  <si>
    <t xml:space="preserve"> 142/150</t>
  </si>
  <si>
    <t>S 40%, E 29%, D 10%, T  4%, H  3%, K  2%, N  2%, V  1%, L  1%, G &lt;1%, Q &lt;1%, A &lt;1%, R &lt;1%</t>
  </si>
  <si>
    <t xml:space="preserve"> GLY:55:A</t>
  </si>
  <si>
    <t>E 16%, P 16%, G 15%, S 13%, V  8%, K  6%, Q  6%, A  4%, N  2%, D  2%, M  2%, T  2%, R  2%, I &lt;1%</t>
  </si>
  <si>
    <t xml:space="preserve"> GLU:56:A</t>
  </si>
  <si>
    <t xml:space="preserve"> 1.106,  1.609  3,3</t>
  </si>
  <si>
    <t>E 30%, Q 18%, D 14%, K 14%, R  8%, T  4%, V  3%, I  2%, A  2%, N  1%, L &lt;1%, Y &lt;1%, P &lt;1%</t>
  </si>
  <si>
    <t xml:space="preserve"> GLU:57:A</t>
  </si>
  <si>
    <t xml:space="preserve"> 150/150</t>
  </si>
  <si>
    <t>L 31%, E 27%, A 10%, T  6%, D  5%, Q  4%, K  3%, V  2%, M  2%, N  2%, H  2%, G  2%, P  1%, R &lt;1%</t>
  </si>
  <si>
    <t xml:space="preserve"> PHE:58:A</t>
  </si>
  <si>
    <t xml:space="preserve"> 1.106,  2.933  3,1</t>
  </si>
  <si>
    <t>Y 21%, H 17%, F 14%, K 12%, V  8%, L  8%, R  7%, E  2%, T  2%, I  2%, N  2%, S &lt;1%, M &lt;1%, W &lt;1%</t>
  </si>
  <si>
    <t xml:space="preserve">  C</t>
  </si>
  <si>
    <t xml:space="preserve"> CYS:59:A</t>
  </si>
  <si>
    <t>-1.339, -1.261  9,9</t>
  </si>
  <si>
    <t>C</t>
  </si>
  <si>
    <t xml:space="preserve"> ILE:60:A</t>
  </si>
  <si>
    <t>-0.360,  0.050  6,5</t>
  </si>
  <si>
    <t>I 42%, V 31%, L 13%, M  9%, Q  1%, R  1%, F &lt;1%</t>
  </si>
  <si>
    <t xml:space="preserve"> TYR:61:A</t>
  </si>
  <si>
    <t>F 67%, Y 23%, L  4%, I  2%, M  2%</t>
  </si>
  <si>
    <t xml:space="preserve"> ASN:62:A</t>
  </si>
  <si>
    <t>N 95%, G  2%, H  1%, D &lt;1%</t>
  </si>
  <si>
    <t xml:space="preserve"> ARG:63:A</t>
  </si>
  <si>
    <t>R 27%, G 12%, K 12%, H 10%, Q  9%, N  8%, E  8%, S  6%, D  4%, C &lt;1%</t>
  </si>
  <si>
    <t xml:space="preserve"> ASN:64:A</t>
  </si>
  <si>
    <t>N 71%, D 19%, S  4%, E  2%, K  1%, T  1%</t>
  </si>
  <si>
    <t xml:space="preserve"> PRO:65:A</t>
  </si>
  <si>
    <t>D 21%, E 19%, Q 14%, A 11%, S 10%, P  7%, N  4%, R  3%, T  2%, V  2%, G  2%, Y &lt;1%, H &lt;1%</t>
  </si>
  <si>
    <t xml:space="preserve"> ASN:66:A</t>
  </si>
  <si>
    <t>N 32%, S 28%, D 26%, G  5%, T  2%, V  2%, H  1%, I &lt;1%, A &lt;1%, L &lt;1%, M &lt;1%</t>
  </si>
  <si>
    <t xml:space="preserve"> ALA:67:A</t>
  </si>
  <si>
    <t>-1.261, -1.159  9,9</t>
  </si>
  <si>
    <t>A 97%, T  1%, S &lt;1%, V &lt;1%</t>
  </si>
  <si>
    <t xml:space="preserve"> CYS:68:A</t>
  </si>
  <si>
    <t xml:space="preserve"> SER:69:A</t>
  </si>
  <si>
    <t>N 40%, S 26%, R 13%, H  7%, G  6%, T  2%, Q  2%, M &lt;1%</t>
  </si>
  <si>
    <t xml:space="preserve"> TYR:70:A</t>
  </si>
  <si>
    <t>Y 90%, F  9%, L &lt;1%</t>
  </si>
  <si>
    <t xml:space="preserve"> GLY:71:A</t>
  </si>
  <si>
    <t>-0.815, -0.513  8,7</t>
  </si>
  <si>
    <t>G 79%, A 19%, T &lt;1%, P &lt;1%</t>
  </si>
  <si>
    <t xml:space="preserve"> VAL:72:A</t>
  </si>
  <si>
    <t>-0.645, -0.360  7,6</t>
  </si>
  <si>
    <t>V 57%, I 25%, S  7%, T  4%, L  1%, M  1%, C  1%, G &lt;1%, E &lt;1%</t>
  </si>
  <si>
    <t xml:space="preserve"> ALA:73:A</t>
  </si>
  <si>
    <t xml:space="preserve"> 0.050,  0.540  5,4</t>
  </si>
  <si>
    <t>G 42%, A 26%, T 17%, F  7%, S  4%, W  1%, I &lt;1%, V &lt;1%</t>
  </si>
  <si>
    <t xml:space="preserve"> VAL:74:A</t>
  </si>
  <si>
    <t>I 55%, V 28%, M 10%, A  4%, T &lt;1%</t>
  </si>
  <si>
    <t xml:space="preserve"> GLY:75:A</t>
  </si>
  <si>
    <t>G 92%, S  6%, A  1%</t>
  </si>
  <si>
    <t xml:space="preserve"> VAL:76:A</t>
  </si>
  <si>
    <t>V 66%, I  9%, S  8%, L  8%, T  2%, F  2%, M &lt;1%, C &lt;1%</t>
  </si>
  <si>
    <t xml:space="preserve"> LEU:77:A</t>
  </si>
  <si>
    <t>L 50%, I 34%, M  6%, V  3%, A  3%, F  1%, T &lt;1%</t>
  </si>
  <si>
    <t xml:space="preserve"> ALA:78:A</t>
  </si>
  <si>
    <t>-1.002, -0.815  9,8</t>
  </si>
  <si>
    <t>A 87%, G  4%, C  3%, T  2%, S  2%</t>
  </si>
  <si>
    <t xml:space="preserve"> PHE:79:A</t>
  </si>
  <si>
    <t>-1.228, -1.044  9,9</t>
  </si>
  <si>
    <t>F 96%, L  3%</t>
  </si>
  <si>
    <t xml:space="preserve"> LEU:80:A</t>
  </si>
  <si>
    <t>-0.440,  0.050  7,5</t>
  </si>
  <si>
    <t>L 81%, F  9%, I  4%, V  2%, M  2%, S &lt;1%</t>
  </si>
  <si>
    <t xml:space="preserve"> THR:81:A</t>
  </si>
  <si>
    <t>-0.513, -0.176  7,6</t>
  </si>
  <si>
    <t>A 57%, G 10%, C  8%, T  8%, S  7%, I  3%, L  2%, W &lt;1%, F &lt;1%, V &lt;1%</t>
  </si>
  <si>
    <t xml:space="preserve"> CYS:82:A</t>
  </si>
  <si>
    <t>C 64%, S 30%, A  2%, T  1%, I &lt;1%, L &lt;1%, G &lt;1%</t>
  </si>
  <si>
    <t xml:space="preserve"> LEU:83:A</t>
  </si>
  <si>
    <t>I 25%, V 21%, L 20%, M 13%, A 10%, S  3%, T  2%, F  1%, C  1%, G &lt;1%</t>
  </si>
  <si>
    <t xml:space="preserve"> LEU:84:A</t>
  </si>
  <si>
    <t>F 28%, A 22%, G 17%, L 14%, V 11%, I  4%, C  2%, M &lt;1%, T &lt;1%</t>
  </si>
  <si>
    <t xml:space="preserve"> TYR:85:A</t>
  </si>
  <si>
    <t>F 88%, Y 10%, L  1%, M &lt;1%</t>
  </si>
  <si>
    <t xml:space="preserve"> LEU:86:A</t>
  </si>
  <si>
    <t>L 63%, F 21%, I 11%, T  1%, G &lt;1%, C &lt;1%, M &lt;1%, V &lt;1%</t>
  </si>
  <si>
    <t xml:space="preserve"> ALA:87:A</t>
  </si>
  <si>
    <t>A 41%, V 28%, I 11%, L  8%, M  6%, G  2%, S &lt;1%, C &lt;1%, F &lt;1%, T &lt;1%</t>
  </si>
  <si>
    <t xml:space="preserve"> LEU:88:A</t>
  </si>
  <si>
    <t>L 55%, V 19%, G 14%, I  4%, M  2%, A  2%, S  2%, T &lt;1%</t>
  </si>
  <si>
    <t xml:space="preserve"> ASP:89:A</t>
  </si>
  <si>
    <t>D 85%, E 14%</t>
  </si>
  <si>
    <t xml:space="preserve"> VAL:90:A</t>
  </si>
  <si>
    <t xml:space="preserve"> 0.346,  0.782  4,4</t>
  </si>
  <si>
    <t>V 30%, A 29%, Y 14%, I 12%, L  6%, M  2%, G  2%, F  1%, S  1%, T &lt;1%</t>
  </si>
  <si>
    <t xml:space="preserve"> TYR:91:A</t>
  </si>
  <si>
    <t>-0.176,  0.346  6,4</t>
  </si>
  <si>
    <t>Y 63%, L 16%, H  4%, K  4%, F  3%, M  3%, N  2%, I  1%, Q  1%, C &lt;1%, S &lt;1%</t>
  </si>
  <si>
    <t xml:space="preserve"> PHE:92:A</t>
  </si>
  <si>
    <t>F 86%, L  4%, E  2%, M  2%, V  1%, Y &lt;1%, T &lt;1%, A &lt;1%, R &lt;1%</t>
  </si>
  <si>
    <t xml:space="preserve"> PRO:93:A</t>
  </si>
  <si>
    <t>P 62%, E 15%, Q  8%, S  4%, D  4%, A  3%, N  1%, H &lt;1%, T &lt;1%</t>
  </si>
  <si>
    <t xml:space="preserve"> GLN:94:A</t>
  </si>
  <si>
    <t>-0.865, -0.645  8,7</t>
  </si>
  <si>
    <t>Q 75%, N  6%, S  5%, R  4%, F  4%, L  2%, H  1%, T &lt;1%, X &lt;1%</t>
  </si>
  <si>
    <t xml:space="preserve"> ILE:95:A</t>
  </si>
  <si>
    <t>I 70%, M 21%, F  3%, L  2%, V  1%, S &lt;1%</t>
  </si>
  <si>
    <t xml:space="preserve"> SER:96:A</t>
  </si>
  <si>
    <t>-1.159, -1.044  9,9</t>
  </si>
  <si>
    <t>S 92%, T  4%, G  1%, N &lt;1%, A &lt;1%, V &lt;1%</t>
  </si>
  <si>
    <t xml:space="preserve"> SER:97:A</t>
  </si>
  <si>
    <t>S 59%, N 36%, G  2%, I &lt;1%, P &lt;1%, T &lt;1%</t>
  </si>
  <si>
    <t xml:space="preserve"> VAL:98:A</t>
  </si>
  <si>
    <t>V 53%, A 30%, I  6%, T  6%, L &lt;1%, G &lt;1%, E &lt;1%, P &lt;1%, S &lt;1%</t>
  </si>
  <si>
    <t xml:space="preserve"> LYS:99:A</t>
  </si>
  <si>
    <t>-0.582, -0.273  7,6</t>
  </si>
  <si>
    <t>K 66%, T 12%, Q  7%, R  4%, N  3%, H  2%, D  1%, A &lt;1%, S &lt;1%, E &lt;1%</t>
  </si>
  <si>
    <t>ASP:100:A</t>
  </si>
  <si>
    <t>D 54%, E 15%, T 14%, Q  2%, H  2%, L  2%, I  1%, S  1%, K  1%, F  1%, N &lt;1%, W &lt;1%, A &lt;1%, V &lt;1%, R &lt;1%</t>
  </si>
  <si>
    <t>ARG:101:A</t>
  </si>
  <si>
    <t>R 94%, K  4%, E &lt;1%</t>
  </si>
  <si>
    <t>LYS:102:A</t>
  </si>
  <si>
    <t>-0.959, -0.706  8,7</t>
  </si>
  <si>
    <t>K 88%, R  7%, T  3%, L &lt;1%, V &lt;1%</t>
  </si>
  <si>
    <t>LYS:103:A</t>
  </si>
  <si>
    <t>K 28%, Y 28%, H 17%, R 13%, F  2%, A  2%, T  2%, N  1%, Q  1%, L &lt;1%, I &lt;1%, P &lt;1%, V &lt;1%</t>
  </si>
  <si>
    <t>ALA:104:A</t>
  </si>
  <si>
    <t>A 42%, I 17%, L 16%, Y 10%, V  7%, F  6%, T &lt;1%</t>
  </si>
  <si>
    <t>VAL:105:A</t>
  </si>
  <si>
    <t>V 92%, Q  2%, F  2%, L  1%, I &lt;1%, R &lt;1%</t>
  </si>
  <si>
    <t>LEU:106:A</t>
  </si>
  <si>
    <t>L 59%, I 16%, M 14%, V  5%, T  2%, G &lt;1%, A &lt;1%, R &lt;1%</t>
  </si>
  <si>
    <t>SER:107:A</t>
  </si>
  <si>
    <t>-0.176,  0.187  6,5</t>
  </si>
  <si>
    <t>A 37%, G 24%, L 19%, S 13%, V  2%, F  1%, I  1%, T &lt;1%</t>
  </si>
  <si>
    <t>ASP:108:A</t>
  </si>
  <si>
    <t>D 92%, E  7%, P &lt;1%</t>
  </si>
  <si>
    <t>ILE:109:A</t>
  </si>
  <si>
    <t>L 60%, I 25%, M  6%, V  4%, F  3%, C &lt;1%</t>
  </si>
  <si>
    <t>GLY:110:A</t>
  </si>
  <si>
    <t>G 65%, V  9%, L  8%, A  7%, I  6%, S  2%, T &lt;1%</t>
  </si>
  <si>
    <t>VAL:111:A</t>
  </si>
  <si>
    <t>F 64%, V 20%, L  6%, T  3%, I  3%, A &lt;1%, S &lt;1%, P &lt;1%, C &lt;1%</t>
  </si>
  <si>
    <t>SER:112:A</t>
  </si>
  <si>
    <t>-1.293, -1.194  9,9</t>
  </si>
  <si>
    <t>S 96%, A  3%, D &lt;1%</t>
  </si>
  <si>
    <t>ALA:113:A</t>
  </si>
  <si>
    <t>G 50%, A 43%, V  5%, T &lt;1%, X &lt;1%</t>
  </si>
  <si>
    <t>PHE:114:A</t>
  </si>
  <si>
    <t>F 41%, L 32%, V 14%, A  6%, I  2%, S  1%, C  1%, T &lt;1%</t>
  </si>
  <si>
    <t>TRP:115:A</t>
  </si>
  <si>
    <t>-1.044, -0.706  9,7</t>
  </si>
  <si>
    <t>W 92%, L  5%, A  2%</t>
  </si>
  <si>
    <t>ALA:116:A</t>
  </si>
  <si>
    <t>T 42%, A 32%, S 23%, V  1%, C &lt;1%</t>
  </si>
  <si>
    <t>PHE:117:A</t>
  </si>
  <si>
    <t>F 90%, L  6%, G  3%, V &lt;1%</t>
  </si>
  <si>
    <t>LEU:118:A</t>
  </si>
  <si>
    <t>L 80%, M 10%, V  4%, I  4%, F  2%</t>
  </si>
  <si>
    <t>TRP:119:A</t>
  </si>
  <si>
    <t>-0.913, -0.513  8,7</t>
  </si>
  <si>
    <t>W 84%, Y 14%, F  1%, N &lt;1%</t>
  </si>
  <si>
    <t>PHE:120:A</t>
  </si>
  <si>
    <t>F 97%, L  1%, V  1%</t>
  </si>
  <si>
    <t>VAL:121:A</t>
  </si>
  <si>
    <t>-0.913, -0.706  8,7</t>
  </si>
  <si>
    <t>V 82%, I 16%, S &lt;1%, M &lt;1%</t>
  </si>
  <si>
    <t>GLY:122:A</t>
  </si>
  <si>
    <t>G 63%, C 22%, S  8%, A  6%</t>
  </si>
  <si>
    <t>PHE:123:A</t>
  </si>
  <si>
    <t>F</t>
  </si>
  <si>
    <t>CYS:124:A</t>
  </si>
  <si>
    <t>C 96%, W  3%, F &lt;1%</t>
  </si>
  <si>
    <t>TYR:125:A</t>
  </si>
  <si>
    <t>F 54%, Y 24%, L 12%, V  8%, H &lt;1%</t>
  </si>
  <si>
    <t>LEU:126:A</t>
  </si>
  <si>
    <t>-1.122, -0.865  9,8</t>
  </si>
  <si>
    <t>L 95%, M  2%, V  1%, T &lt;1%, I &lt;1%</t>
  </si>
  <si>
    <t>ALA:127:A</t>
  </si>
  <si>
    <t>A 60%, T 30%, V  2%, S  2%, C  2%, W &lt;1%</t>
  </si>
  <si>
    <t>ASN:128:A</t>
  </si>
  <si>
    <t>-0.815, -0.582  8,7</t>
  </si>
  <si>
    <t>N 77%, S 10%, D  9%, H  2%, A &lt;1%</t>
  </si>
  <si>
    <t>GLN:129:A</t>
  </si>
  <si>
    <t>Q 86%, A  5%, K  4%, L  2%, R &lt;1%, S &lt;1%, M &lt;1%</t>
  </si>
  <si>
    <t>TRP:130:A</t>
  </si>
  <si>
    <t>-1.339, -1.194  9,9</t>
  </si>
  <si>
    <t>W</t>
  </si>
  <si>
    <t>GLN:131:A</t>
  </si>
  <si>
    <t>Q 37%, S 23%, A 14%, R 10%, G  6%, V  3%, T  2%, H  1%, N  1%</t>
  </si>
  <si>
    <t>VAL:132:A</t>
  </si>
  <si>
    <t>V 20%, K 20%, R 18%, A 12%, H  8%, S  5%, N  4%, W  3%, D  2%, F  1%, Q  1%, L  1%, M &lt;1%, I &lt;1%, Y &lt;1%, T &lt;1%</t>
  </si>
  <si>
    <t>SER:133:A</t>
  </si>
  <si>
    <t>T 56%, S 31%, A  8%, R &lt;1%, E &lt;1%, M &lt;1%, F &lt;1%, Q &lt;1%</t>
  </si>
  <si>
    <t>LYS:134:A</t>
  </si>
  <si>
    <t>K 27%, T 14%, E 10%, S  9%, P  8%, D  6%, N  6%, Q  4%, H  3%, A  2%, R  2%, V  2%, I  1%, L  1%</t>
  </si>
  <si>
    <t>PRO:135:A</t>
  </si>
  <si>
    <t>P 30%, D 10%, L  7%, S  7%, E  7%, T  6%, A  6%, M  4%, R  3%, K  3%, V  3%, N  3%, Q  2%, H  2%, Y &lt;1%, I &lt;1%, G &lt;1%</t>
  </si>
  <si>
    <t>LYS:136:A</t>
  </si>
  <si>
    <t xml:space="preserve"> 100/150</t>
  </si>
  <si>
    <t>E 42%, K 19%, D 15%, S  7%, T  5%, Q  3%, G  3%, A  2%, H  2%, Y &lt;1%, M &lt;1%</t>
  </si>
  <si>
    <t>ASP:137:A</t>
  </si>
  <si>
    <t xml:space="preserve"> 0.540,  1.609  4,3</t>
  </si>
  <si>
    <t xml:space="preserve">  69/150</t>
  </si>
  <si>
    <t>D 52%, E 15%, K  7%, R  7%, N  2%, G  2%, P  2%, L  2%, V  1%, I  1%, S  1%, H  1%</t>
  </si>
  <si>
    <t>ASN:138:A</t>
  </si>
  <si>
    <t xml:space="preserve">  82/150</t>
  </si>
  <si>
    <t>N 41%, P 26%, L 17%, K  3%, V  2%, D  2%, S  1%, A  1%, H  1%, T  1%, Q  1%</t>
  </si>
  <si>
    <t>PRO:139:A</t>
  </si>
  <si>
    <t>P 41%, D 11%, E  7%, V  6%, G  5%, T  4%, L  3%, K  3%, Q  2%, A  2%, R  2%, S  2%, I  1%, F  1%, N &lt;1%, Y &lt;1%, H &lt;1%</t>
  </si>
  <si>
    <t>LEU:140:A</t>
  </si>
  <si>
    <t>L 29%, V 16%, F  8%, N  6%, S  6%, G  4%, M  4%, R  4%, D  4%, A  3%, T  2%, K  2%, P  2%, E  2%, I &lt;1%, H &lt;1%, Y &lt;1%, Q &lt;1%</t>
  </si>
  <si>
    <t>ASN:141:A</t>
  </si>
  <si>
    <t>N 20%, G 19%, L 13%, A  9%, S  8%, R  5%, K  4%, D  4%, T  4%, E  2%, Y  2%, H  1%, I  1%, P &lt;1%, Q &lt;1%, V &lt;1%, W &lt;1%</t>
  </si>
  <si>
    <t>GLU:142:A</t>
  </si>
  <si>
    <t>E 20%, V 19%, Q 16%, I 16%, Y  8%, L  2%, N  2%, S  2%, G  2%, T  2%, F  1%, H  1%, A  1%, W  1%, D &lt;1%, P &lt;1%, M &lt;1%</t>
  </si>
  <si>
    <t>GLY:143:A</t>
  </si>
  <si>
    <t>G 71%, P 12%, A  7%, S  2%, Q  2%, R  1%, T &lt;1%, K &lt;1%, I &lt;1%, D &lt;1%, E &lt;1%</t>
  </si>
  <si>
    <t>THR:144:A</t>
  </si>
  <si>
    <t>A 42%, G 12%, V 11%, T 10%, S  8%, Q  4%, R  2%, E  2%, N  1%, H  1%, K  1%, L  1%</t>
  </si>
  <si>
    <t>ASP:145:A</t>
  </si>
  <si>
    <t>D 74%, N 14%, S  7%, G  2%, A &lt;1%</t>
  </si>
  <si>
    <t>ALA:146:A</t>
  </si>
  <si>
    <t>A 57%, S 20%, N 18%, G  1%, T &lt;1%, D &lt;1%</t>
  </si>
  <si>
    <t>ALA:147:A</t>
  </si>
  <si>
    <t>A 78%, V 14%, I  3%, M  1%, G &lt;1%, P &lt;1%, L &lt;1%, C &lt;1%</t>
  </si>
  <si>
    <t>ARG:148:A</t>
  </si>
  <si>
    <t>R 74%, Q 15%, K  4%, H  2%, N  1%, F &lt;1%, T &lt;1%, G &lt;1%, Y &lt;1%</t>
  </si>
  <si>
    <t>ALA:149:A</t>
  </si>
  <si>
    <t>A 90%, G  4%, S  3%, C  1%, V &lt;1%</t>
  </si>
  <si>
    <t>ALA:150:A</t>
  </si>
  <si>
    <t>A 74%, V 12%, T  6%, S  3%, I  2%</t>
  </si>
  <si>
    <t>ILE:151:A</t>
  </si>
  <si>
    <t>I 88%, V 10%, L &lt;1%</t>
  </si>
  <si>
    <t>ALA:152:A</t>
  </si>
  <si>
    <t>A 52%, T 36%, V  5%, L  2%, F  1%, I  1%, S  1%</t>
  </si>
  <si>
    <t>PHE:153:A</t>
  </si>
  <si>
    <t>SER:154:A</t>
  </si>
  <si>
    <t>S 80%, C 10%, A  4%, T  4%, Q &lt;1%</t>
  </si>
  <si>
    <t>PHE:155:A</t>
  </si>
  <si>
    <t>F 97%, L  2%</t>
  </si>
  <si>
    <t>PHE:156:A</t>
  </si>
  <si>
    <t>F 97%, L  1%, A &lt;1%, V &lt;1%</t>
  </si>
  <si>
    <t>SER:157:A</t>
  </si>
  <si>
    <t>-1.293, -1.228  9,9</t>
  </si>
  <si>
    <t>S 98%, A  1%, C &lt;1%</t>
  </si>
  <si>
    <t>ILE:158:A</t>
  </si>
  <si>
    <t>I 86%, V  8%, T  4%, F &lt;1%, M &lt;1%</t>
  </si>
  <si>
    <t>PHE:159:A</t>
  </si>
  <si>
    <t>F 61%, I 14%, A  8%, L  7%, V  4%, G  2%, P  2%</t>
  </si>
  <si>
    <t>THR:160:A</t>
  </si>
  <si>
    <t>T 55%, S 30%, A  5%, I  4%, V  4%, P &lt;1%</t>
  </si>
  <si>
    <t>TRP:161:A</t>
  </si>
  <si>
    <t>-1.122, -0.815  9,8</t>
  </si>
  <si>
    <t>W 98%, F  2%</t>
  </si>
  <si>
    <t>ALA:162:A</t>
  </si>
  <si>
    <t xml:space="preserve"> 147/150</t>
  </si>
  <si>
    <t>A 44%, G 35%, V 10%, I  3%, S  2%, E  1%, L &lt;1%, T &lt;1%, M &lt;1%</t>
  </si>
  <si>
    <t>GLY:163:A</t>
  </si>
  <si>
    <t>G 31%, L 20%, A 16%, V  9%, I  6%, F  6%, Y  2%, S  2%, M  2%, T  1%, Q &lt;1%</t>
  </si>
  <si>
    <t>GLN:164:A</t>
  </si>
  <si>
    <t>L 59%, Q 18%, C  8%, S  4%, M  2%, T  1%, A  1%, I  1%, D &lt;1%, K &lt;1%, V &lt;1%, N &lt;1%</t>
  </si>
  <si>
    <t>ALA:165:A</t>
  </si>
  <si>
    <t xml:space="preserve"> 141/150</t>
  </si>
  <si>
    <t>A 43%, T 29%, S 14%, I  3%, V  2%, L  2%, C  1%, P &lt;1%, G &lt;1%, R &lt;1%</t>
  </si>
  <si>
    <t>VAL:166:A</t>
  </si>
  <si>
    <t>F 24%, Y 23%, V 16%, L 13%, S  5%, A  4%, W  4%, T  2%, C  1%, H &lt;1%, M &lt;1%, P &lt;1%</t>
  </si>
  <si>
    <t>LEU:167:A</t>
  </si>
  <si>
    <t xml:space="preserve"> 140/150</t>
  </si>
  <si>
    <t>L 40%, F 40%, R  6%, K  4%, V  2%, S  2%, I  1%, C  1%, Y &lt;1%, M &lt;1%</t>
  </si>
  <si>
    <t>ALA:168:A</t>
  </si>
  <si>
    <t>-1.044, -0.865  9,8</t>
  </si>
  <si>
    <t>A 90%, S  5%, G  1%, R  1%, P &lt;1%, T &lt;1%</t>
  </si>
  <si>
    <t>PHE:169:A</t>
  </si>
  <si>
    <t>Y 28%, F 27%, L 25%, V 13%, M  2%, I  1%, T &lt;1%, R &lt;1%</t>
  </si>
  <si>
    <t>GLN:170:A</t>
  </si>
  <si>
    <t>Q 45%, R 13%, K 10%, G  7%, L  5%, E  4%, H  2%, A  2%, T  2%, S  1%, V  1%, M  1%, D &lt;1%, P &lt;1%</t>
  </si>
  <si>
    <t>ARG:171:A</t>
  </si>
  <si>
    <t>R 84%, K  8%, D  4%, H  1%, P &lt;1%, N &lt;1%</t>
  </si>
  <si>
    <t>TYR:172:A</t>
  </si>
  <si>
    <t>Y 57%, F 28%, L 11%, M &lt;1%, H &lt;1%, V &lt;1%</t>
  </si>
  <si>
    <t>GLN:173:A</t>
  </si>
  <si>
    <t xml:space="preserve"> 135/150</t>
  </si>
  <si>
    <t>R 46%, K 36%, L  7%, Q  5%, S  1%, M &lt;1%, G &lt;1%, T &lt;1%, N &lt;1%</t>
  </si>
  <si>
    <t>ILE:174:A</t>
  </si>
  <si>
    <t xml:space="preserve"> 120/150</t>
  </si>
  <si>
    <t>Q 32%, L 25%, A 11%, M  9%, R  5%, I  4%, E  4%, S  2%, T  1%, H &lt;1%, V &lt;1%, D &lt;1%, N &lt;1%</t>
  </si>
  <si>
    <t>GLY:175:A</t>
  </si>
  <si>
    <t>G 95%, D  2%, V &lt;1%, C &lt;1%, H &lt;1%</t>
  </si>
  <si>
    <t>ALA:176:A</t>
  </si>
  <si>
    <t>V 39%, A 25%, T 19%, S  5%, I  3%, L  2%, Q  1%, M &lt;1%, G &lt;1%</t>
  </si>
  <si>
    <t>ASP:177:A</t>
  </si>
  <si>
    <t>D 55%, S 11%, E  7%, N  6%, T  4%, Q  3%, G  3%, A  2%, R  1%, P  1%, V &lt;1%, K &lt;1%</t>
  </si>
  <si>
    <t>SER:178:A</t>
  </si>
  <si>
    <t>D 27%, S 18%, E 16%, M 12%, A 12%, T  4%, N  2%, P  2%, G  1%, Q &lt;1%, R &lt;1%, V &lt;1%</t>
  </si>
  <si>
    <t>ALA:179:A</t>
  </si>
  <si>
    <t xml:space="preserve">  73/150</t>
  </si>
  <si>
    <t>A 46%, S 24%, L  5%, I  5%, T  5%, V  4%, P  4%, N  2%, R  1%</t>
  </si>
  <si>
    <t>LEU:180:A</t>
  </si>
  <si>
    <t>-0.273,  0.540  6,4</t>
  </si>
  <si>
    <t xml:space="preserve">  44/150</t>
  </si>
  <si>
    <t>L 75%, T 13%, I  4%, S  2%, P  2%, C  2%</t>
  </si>
  <si>
    <t>PHE:181:A</t>
  </si>
  <si>
    <t xml:space="preserve"> 123/150</t>
  </si>
  <si>
    <t>F 83%, V  8%, L  4%, I  1%, C &lt;1%, Y &lt;1%</t>
  </si>
  <si>
    <t>SER:182:A</t>
  </si>
  <si>
    <t>A 22%, S 17%, T 14%, D  8%, I  8%, Q  7%, G  5%, N  4%, V  2%, L  1%, E  1%, M  1%, P &lt;1%, R &lt;1%, K &lt;1%</t>
  </si>
  <si>
    <t>GLN:183:A</t>
  </si>
  <si>
    <t>Q 37%, T 17%, S  9%, E  8%, P  8%, H  3%, I  3%, G  2%, L  1%, W  1%, K &lt;1%, D &lt;1%, M &lt;1%, A &lt;1%, N &lt;1%, F &lt;1%, R &lt;1%</t>
  </si>
  <si>
    <t>ASP:184:A</t>
  </si>
  <si>
    <t>D 23%, E 19%, S 18%, N 14%, G  9%, T  4%, P  3%, K  1%, R  1%, Q  1%, A &lt;1%</t>
  </si>
  <si>
    <t>TYR:185:A</t>
  </si>
  <si>
    <t>Y 77%, H  8%, Q  5%, F  4%, N  1%, E  1%, L &lt;1%, D &lt;1%</t>
  </si>
  <si>
    <t>MET:186:A</t>
  </si>
  <si>
    <t>V 17%, T 16%, E 15%, R  7%, L  6%, F  6%, D  5%, N  4%, A  4%, M  3%, S  3%, I  3%, K  1%, P  1%, Q &lt;1%, G &lt;1%</t>
  </si>
  <si>
    <t>ASP:187:A</t>
  </si>
  <si>
    <t>-0.513, -0.071  7,5</t>
  </si>
  <si>
    <t>D 60%, A 13%, E  8%, T  5%, S  3%, Q  3%, N  1%, V &lt;1%, P &lt;1%, R &lt;1%</t>
  </si>
  <si>
    <t>PRO:188:A</t>
  </si>
  <si>
    <t xml:space="preserve"> 107/150</t>
  </si>
  <si>
    <t>P 81%, S  4%, Q  3%, L  2%, G  2%, N  1%, T  1%, A &lt;1%</t>
  </si>
  <si>
    <t>SER:189:A</t>
  </si>
  <si>
    <t>T 20%, S 17%, A 17%, G 13%, P  9%, N  7%, V  5%, F  2%, D &lt;1%, E &lt;1%, M &lt;1%, W &lt;1%, Y &lt;1%, L &lt;1%</t>
  </si>
  <si>
    <t>GLN:190:A</t>
  </si>
  <si>
    <t>P 25%, Q 19%, N 17%, S 14%, A  6%, G  6%, T  3%, L  2%, E &lt;1%, I &lt;1%, V &lt;1%</t>
  </si>
  <si>
    <t>ASP:191:A</t>
  </si>
  <si>
    <t>D 52%, E 12%, A  9%, G  8%, P  5%, Q  4%, T  1%, L  1%, S &lt;1%, N &lt;1%</t>
  </si>
  <si>
    <t>SER:192:A</t>
  </si>
  <si>
    <t>P 26%, A 12%, H 11%, S  9%, Q  7%, G  6%, V  5%, M  4%, N  3%, L  3%, E  2%, D  2%, R  1%, T &lt;1%, Y &lt;1%</t>
  </si>
  <si>
    <t>SER:193:A</t>
  </si>
  <si>
    <t>S 28%, A 18%, T 11%, G 10%, N  8%, P  7%, Q  4%, H  4%, I  3%, L  1%, V &lt;1%, M &lt;1%</t>
  </si>
  <si>
    <t>MET:194:A</t>
  </si>
  <si>
    <t>T 31%, A 17%, S 17%, Q  7%, G  6%, M  5%, N  5%, L  3%, V  2%, E  1%, P &lt;1%</t>
  </si>
  <si>
    <t>PRO:195:A</t>
  </si>
  <si>
    <t>P 63%, A 16%, S  7%, G  5%, Q  3%, V  1%, E &lt;1%, T &lt;1%</t>
  </si>
  <si>
    <t>TYR:196:A</t>
  </si>
  <si>
    <t>Y 90%, F  6%, V  1%, Q &lt;1%, K &lt;1%</t>
  </si>
  <si>
    <t>ALA:197:A</t>
  </si>
  <si>
    <t>P 48%, S 19%, A 15%, T 13%, G  1%, N  1%</t>
  </si>
  <si>
    <t>PRO:198:A</t>
  </si>
  <si>
    <t>S 46%, P 30%, G 14%, A  6%, T  2%, V &lt;1%</t>
  </si>
  <si>
    <t>TYR:199:A</t>
  </si>
  <si>
    <t>Y 75%, F  9%, I  5%, S  2%, V  1%, L  1%, Q &lt;1%, W &lt;1%, T &lt;1%, M &lt;1%</t>
  </si>
  <si>
    <t>VAL:200:A</t>
  </si>
  <si>
    <t>P 76%, A  7%, G  4%, V  3%, S  3%, T  2%</t>
  </si>
  <si>
    <t>GLU:201:A</t>
  </si>
  <si>
    <t>G 24%, T 16%, N 15%, S 13%, A  7%, D  6%, E  5%, V  5%, P  2%, K &lt;1%, M &lt;1%</t>
  </si>
  <si>
    <t>PRO:202:A</t>
  </si>
  <si>
    <t xml:space="preserve"> 101/150</t>
  </si>
  <si>
    <t>G 33%, S 17%, A 14%, V  7%, P  6%, T  5%, I  3%, E  2%, D  2%, F &lt;1%, Q &lt;1%, N &lt;1%</t>
  </si>
  <si>
    <t>THR:203:A</t>
  </si>
  <si>
    <t xml:space="preserve"> 0.346,  1.609  4,3</t>
  </si>
  <si>
    <t xml:space="preserve">  39/150</t>
  </si>
  <si>
    <t>S 33%, D 20%, Y 12%, T 10%, G  7%, A  5%, P  5%, M  2%, Q  2%</t>
  </si>
  <si>
    <t>GLY:204:A</t>
  </si>
  <si>
    <t xml:space="preserve">  52/150</t>
  </si>
  <si>
    <t>T 25%, P 17%, I 15%, G 11%, L  9%, V  7%, S  3%, A  3%, M  1%, C  1%, N  1%</t>
  </si>
  <si>
    <t>PRO:205:A</t>
  </si>
  <si>
    <t xml:space="preserve">  58/150</t>
  </si>
  <si>
    <t>E 44%, D 17%, P  8%, G  6%, T  3%, I  3%, S  3%, N  3%, Q  3%, A  1%, Y  1%, V  1%</t>
  </si>
  <si>
    <t>ASP:206:A</t>
  </si>
  <si>
    <t xml:space="preserve">  93/150</t>
  </si>
  <si>
    <t>S 33%, T 17%, G 17%, P 11%, D  6%, A  6%, N  2%, V  2%, H  1%, R  1%, M  1%</t>
  </si>
  <si>
    <t>PRO:207:A</t>
  </si>
  <si>
    <t>-0.706,  0.187  7,5</t>
  </si>
  <si>
    <t xml:space="preserve">  15/150</t>
  </si>
  <si>
    <t>P 73%, S 13%, G 13%</t>
  </si>
  <si>
    <t>ALA:208:A</t>
  </si>
  <si>
    <t xml:space="preserve"> 0.540,  2.933  4,1</t>
  </si>
  <si>
    <t>G 33%, A 26%, M 13%, D 13%, P  6%, T  6%</t>
  </si>
  <si>
    <t>GLY:209:A</t>
  </si>
  <si>
    <t>-0.645,  0.540  7,4</t>
  </si>
  <si>
    <t xml:space="preserve">   9/150</t>
  </si>
  <si>
    <t>G 66%, T 22%, E 11%</t>
  </si>
  <si>
    <t>MET:210:A</t>
  </si>
  <si>
    <t xml:space="preserve"> 0.187,  1.609  5,3</t>
  </si>
  <si>
    <t xml:space="preserve">  10/150</t>
  </si>
  <si>
    <t>G 40%, M 20%, A 20%, L 10%, V 10%</t>
  </si>
  <si>
    <t>GLY:211:A</t>
  </si>
  <si>
    <t xml:space="preserve">  88/150</t>
  </si>
  <si>
    <t>P 23%, T 17%, G 11%, V 11%, D  9%, A  6%, H  6%, S  4%, E  2%, Q  2%, R  1%, N  1%, M  1%, L  1%</t>
  </si>
  <si>
    <t>GLY:212:A</t>
  </si>
  <si>
    <t xml:space="preserve">  92/150</t>
  </si>
  <si>
    <t>D 35%, G 20%, E 20%, T  7%, Q  5%, S  4%, A  2%, P  1%, N  1%, L  1%</t>
  </si>
  <si>
    <t>THR:213:A</t>
  </si>
  <si>
    <t xml:space="preserve">  91/150</t>
  </si>
  <si>
    <t>G 27%, T 20%, S 15%, N 13%, P  6%, H  4%, A  3%, Q  3%, D  2%, M  1%, I  1%, L  1%</t>
  </si>
  <si>
    <t>TYR:214:A</t>
  </si>
  <si>
    <t>-0.959, -0.582  8,7</t>
  </si>
  <si>
    <t xml:space="preserve">  90/150</t>
  </si>
  <si>
    <t>Y 90%, G  4%, F  2%, L  1%, A  1%, S  1%</t>
  </si>
  <si>
    <t>GLN:215:A</t>
  </si>
  <si>
    <t>-0.865, -0.513  8,7</t>
  </si>
  <si>
    <t>Q 84%, G  5%, S  3%, D  2%, N  2%, P  1%, A  1%</t>
  </si>
  <si>
    <t>GLN:216:A</t>
  </si>
  <si>
    <t>Q 63%, S 15%, E 12%, A  3%, N  2%, R  1%, P  1%, D  1%</t>
  </si>
  <si>
    <t>PRO:217:A</t>
  </si>
  <si>
    <t xml:space="preserve">  94/150</t>
  </si>
  <si>
    <t>P 64%, S 21%, A  6%, T  2%, R  2%, K  1%, E  1%, Q  1%</t>
  </si>
  <si>
    <t>ALA:218:A</t>
  </si>
  <si>
    <t xml:space="preserve">  79/150</t>
  </si>
  <si>
    <t>T 50%, S 20%, A  8%, D  7%, P  3%, G  2%, V  1%, E  1%, N  1%, M  1%, Q  1%</t>
  </si>
  <si>
    <t>ASN:219:A</t>
  </si>
  <si>
    <t xml:space="preserve">  75/150</t>
  </si>
  <si>
    <t>Q 26%, E 21%, G 13%, H  9%, N  8%, P  8%, D  5%, S  2%, T  2%, R  1%, A  1%</t>
  </si>
  <si>
    <t>THR:220:A</t>
  </si>
  <si>
    <t xml:space="preserve">  74/150</t>
  </si>
  <si>
    <t>N 29%, T 22%, A 14%, S 10%, G  6%, Q  5%, V  2%, E  2%, K  2%, P  1%</t>
  </si>
  <si>
    <t>PHE:221:A</t>
  </si>
  <si>
    <t>A 23%, F 17%, Q 17%, L 13%, P  5%, S  5%, G  5%, K  2%, T  2%, Y  1%, N  1%, M  1%, R  1%</t>
  </si>
  <si>
    <t>ASP:222:A</t>
  </si>
  <si>
    <t xml:space="preserve"> 0.187,  1.106  5,3</t>
  </si>
  <si>
    <t>E 45%, D 30%, A  6%, G  5%, Q  5%, N  2%, S  1%, K  1%, T  1%</t>
  </si>
  <si>
    <t>THR:223:A</t>
  </si>
  <si>
    <t xml:space="preserve">  72/150</t>
  </si>
  <si>
    <t>T 30%, A 19%, Q 16%, G 13%, P 11%, S  2%, E  1%, H  1%, N  1%, M  1%</t>
  </si>
  <si>
    <t>GLU:224:A</t>
  </si>
  <si>
    <t xml:space="preserve">  70/150</t>
  </si>
  <si>
    <t>P 25%, T 20%, S 14%, N 12%, E 11%, Q  8%, G  4%, A  1%, F  1%</t>
  </si>
  <si>
    <t>PRO:225:A</t>
  </si>
  <si>
    <t>-0.440,  0.540  7,4</t>
  </si>
  <si>
    <t xml:space="preserve">  19/150</t>
  </si>
  <si>
    <t>P 78%, A 10%, T  5%, Q  5%</t>
  </si>
  <si>
    <t>GLN:226:A</t>
  </si>
  <si>
    <t>-0.071,  0.782  5,4</t>
  </si>
  <si>
    <t xml:space="preserve">  63/150</t>
  </si>
  <si>
    <t>G 31%, E 25%, K 14%, Q 12%, A  7%, R  1%, L  1%, D  1%, N  1%, T  1%</t>
  </si>
  <si>
    <t>GLY:227:A</t>
  </si>
  <si>
    <t>-0.513,  0.050  7,5</t>
  </si>
  <si>
    <t xml:space="preserve">  61/150</t>
  </si>
  <si>
    <t>G 73%, E 14%, D  3%, Q  3%, T  1%, N  1%, K  1%</t>
  </si>
  <si>
    <t>TYR:228:A</t>
  </si>
  <si>
    <t>-1.159, -0.815  9,8</t>
  </si>
  <si>
    <t>Y 96%, F  3%</t>
  </si>
  <si>
    <t>GLN:229:A</t>
  </si>
  <si>
    <t>-1.339, -1.228  9,9</t>
  </si>
  <si>
    <t>Q</t>
  </si>
  <si>
    <t>SER:230:A</t>
  </si>
  <si>
    <t xml:space="preserve">  42/150</t>
  </si>
  <si>
    <t>P 33%, V 19%, R 14%, S 11%, A  7%, T  2%, G  2%, K  2%, L  2%, I  2%, Q  2%</t>
  </si>
  <si>
    <t>GLN:231:A</t>
  </si>
  <si>
    <t>-1.002, -0.582  9,7</t>
  </si>
  <si>
    <t xml:space="preserve">  33/150</t>
  </si>
  <si>
    <t>Q 48%, P 48%, S  3%</t>
  </si>
  <si>
    <t>GLY:232:A</t>
  </si>
  <si>
    <t xml:space="preserve">  26/150</t>
  </si>
  <si>
    <t>A 30%, E 19%, G 15%, D 15%, S 11%, N  3%, P  3%</t>
  </si>
  <si>
    <t>TYR:233:A</t>
  </si>
  <si>
    <t>-1.084, -0.582  9,7</t>
  </si>
  <si>
    <t xml:space="preserve">  23/150</t>
  </si>
  <si>
    <t>Y 95%, D  4%</t>
  </si>
  <si>
    <t>*Below the confidence cut-off - The calculations for this site were performed on less than 6 non-gaped homologue sequences,</t>
  </si>
  <si>
    <t>or the confidence interval for the estimated score is equal to- or larger than- 4 color grades.</t>
  </si>
  <si>
    <t>from -0.927 to -0.721 the grade is 9</t>
  </si>
  <si>
    <t>from -0.721 to -0.515 the grade is 8</t>
  </si>
  <si>
    <t>from -0.515 to -0.309 the grade is 7</t>
  </si>
  <si>
    <t>from -0.309 to -0.103 the grade is 6</t>
  </si>
  <si>
    <t>from -0.103 to  0.354 the grade is 5</t>
  </si>
  <si>
    <t>from  0.354 to  1.063 the grade is 4</t>
  </si>
  <si>
    <t>from  1.063 to  1.772 the grade is 3</t>
  </si>
  <si>
    <t>from  1.772 to  2.481 the grade is 2</t>
  </si>
  <si>
    <t>from  2.481 to  3.190 the grade is 1</t>
  </si>
  <si>
    <t>-0.951, -0.875  9,9</t>
  </si>
  <si>
    <t xml:space="preserve">  77/150</t>
  </si>
  <si>
    <t>M</t>
  </si>
  <si>
    <t xml:space="preserve"> 0.094,  0.832  5,4</t>
  </si>
  <si>
    <t xml:space="preserve">  80/150</t>
  </si>
  <si>
    <t>E 51%, D 46%, N  1%, S  1%</t>
  </si>
  <si>
    <t xml:space="preserve">  GLU:3:A</t>
  </si>
  <si>
    <t xml:space="preserve"> 0.228,  0.832  5,4</t>
  </si>
  <si>
    <t>D 64%, E 31%, N  2%, S  1%</t>
  </si>
  <si>
    <t xml:space="preserve"> 1.176,  3.191  3,1</t>
  </si>
  <si>
    <t>T 28%, G 24%, S 21%, A  9%, P  7%, N  4%, R  1%, E  1%, I  1%</t>
  </si>
  <si>
    <t xml:space="preserve">  PHE:5:A</t>
  </si>
  <si>
    <t xml:space="preserve"> 0.832,  1.713  4,3</t>
  </si>
  <si>
    <t>Y 75%, F 10%, H  4%, I  2%, P  2%, V  1%, A  1%, Q  1%, N  1%, D  1%</t>
  </si>
  <si>
    <t xml:space="preserve">  ARG:6:A</t>
  </si>
  <si>
    <t xml:space="preserve"> 0.094,  0.583  5,4</t>
  </si>
  <si>
    <t>R 51%, N 20%, K 10%, Q  9%, D  3%, H  1%, G  1%, E  1%</t>
  </si>
  <si>
    <t xml:space="preserve">  ASP:7:A</t>
  </si>
  <si>
    <t>-0.212,  0.387  6,4</t>
  </si>
  <si>
    <t>D 52%, N 39%, E  4%, G  2%, K  1%, H  1%</t>
  </si>
  <si>
    <t xml:space="preserve">  ARG:8:A</t>
  </si>
  <si>
    <t>-0.212,  0.228  6,5</t>
  </si>
  <si>
    <t>R 83%, N  7%, Q  2%, K  2%, S  1%, T  1%, D  1%, H  1%</t>
  </si>
  <si>
    <t xml:space="preserve">  ALA:9:A</t>
  </si>
  <si>
    <t>T 74%, S 12%, A  4%, P  3%, L  2%, Q  1%, M  1%, G  1%</t>
  </si>
  <si>
    <t xml:space="preserve"> ALA:10:A</t>
  </si>
  <si>
    <t>-0.291,  0.094  6,5</t>
  </si>
  <si>
    <t xml:space="preserve">  95/150</t>
  </si>
  <si>
    <t>S 48%, A 32%, D  7%, N  4%, H  3%, Q  2%, F  1%, C  1%</t>
  </si>
  <si>
    <t xml:space="preserve"> PHE:11:A</t>
  </si>
  <si>
    <t>-0.363,  0.228  7,5</t>
  </si>
  <si>
    <t xml:space="preserve">  96/150</t>
  </si>
  <si>
    <t>L 57%, F 39%, I  1%, P  1%, Q  1%</t>
  </si>
  <si>
    <t xml:space="preserve"> ILE:12:A</t>
  </si>
  <si>
    <t>V 37%, I 33%, M  9%, Y  8%, A  8%, F  2%, L  1%</t>
  </si>
  <si>
    <t xml:space="preserve"> ARG:13:A</t>
  </si>
  <si>
    <t>-0.123,  0.387  6,4</t>
  </si>
  <si>
    <t>K 57%, R 28%, Q  9%, H  3%, W  1%, E  1%</t>
  </si>
  <si>
    <t xml:space="preserve"> GLY:14:A</t>
  </si>
  <si>
    <t>-0.804, -0.485  9,7</t>
  </si>
  <si>
    <t>G 96%, S  3%</t>
  </si>
  <si>
    <t xml:space="preserve"> ALA:15:A</t>
  </si>
  <si>
    <t>-0.951, -0.894  9,9</t>
  </si>
  <si>
    <t>A</t>
  </si>
  <si>
    <t xml:space="preserve"> LYS:16:A</t>
  </si>
  <si>
    <t>-0.427, -0.023  7,5</t>
  </si>
  <si>
    <t>K 78%, R 16%, Q  2%, T  2%</t>
  </si>
  <si>
    <t xml:space="preserve"> ASP:17:A</t>
  </si>
  <si>
    <t>-0.485, -0.123  7,6</t>
  </si>
  <si>
    <t>D 92%, E  3%, G  2%, H  1%, A  1%</t>
  </si>
  <si>
    <t xml:space="preserve"> ILE:18:A</t>
  </si>
  <si>
    <t>-0.427, -0.123  7,6</t>
  </si>
  <si>
    <t>I 84%, M  9%, L  3%, V  2%, T  1%</t>
  </si>
  <si>
    <t xml:space="preserve"> ALA:19:A</t>
  </si>
  <si>
    <t>-0.710, -0.427  8,7</t>
  </si>
  <si>
    <t>A 85%, V 13%, T  1%</t>
  </si>
  <si>
    <t xml:space="preserve"> LYS:20:A</t>
  </si>
  <si>
    <t>K 76%, R 21%, Y  1%, N  1%</t>
  </si>
  <si>
    <t xml:space="preserve"> GLU:21:A</t>
  </si>
  <si>
    <t>-0.538, -0.123  8,6</t>
  </si>
  <si>
    <t xml:space="preserve">  97/150</t>
  </si>
  <si>
    <t>E 86%, V  9%, N  2%, G  1%, H  1%</t>
  </si>
  <si>
    <t xml:space="preserve"> VAL:22:A</t>
  </si>
  <si>
    <t>V 50%, A 48%, T  1%</t>
  </si>
  <si>
    <t xml:space="preserve"> LYS:23:A</t>
  </si>
  <si>
    <t>-0.631, -0.291  8,6</t>
  </si>
  <si>
    <t>K 93%, R  2%, Y  2%, N  1%, S  1%</t>
  </si>
  <si>
    <t xml:space="preserve"> LYS:24:A</t>
  </si>
  <si>
    <t>R 62%, K 29%, Q  6%, H  1%</t>
  </si>
  <si>
    <t>-0.023,  0.583  5,4</t>
  </si>
  <si>
    <t>Q 54%, H 43%, R  1%, T  1%</t>
  </si>
  <si>
    <t xml:space="preserve"> ALA:26:A</t>
  </si>
  <si>
    <t>A 70%, T 15%, V  6%, G  4%, S  3%</t>
  </si>
  <si>
    <t xml:space="preserve"> ALA:27:A</t>
  </si>
  <si>
    <t xml:space="preserve"> 0.583,  1.176  4,3</t>
  </si>
  <si>
    <t>A 37%, V 20%, G 14%, S 14%, T  4%, R  3%, K  3%, N  1%, D  1%</t>
  </si>
  <si>
    <t xml:space="preserve"> LYS:28:A</t>
  </si>
  <si>
    <t xml:space="preserve">  84/150</t>
  </si>
  <si>
    <t>K 91%, R  7%, E  1%</t>
  </si>
  <si>
    <t xml:space="preserve"> LYS:29:A</t>
  </si>
  <si>
    <t>-0.804, -0.538  9,8</t>
  </si>
  <si>
    <t>K 91%, N  6%, T  2%</t>
  </si>
  <si>
    <t xml:space="preserve">  83/150</t>
  </si>
  <si>
    <t>V 83%, M  7%, F  3%, A  1%, G  1%, P  1%, T  1%, I  1%</t>
  </si>
  <si>
    <t xml:space="preserve"> 0.387,  1.176  4,3</t>
  </si>
  <si>
    <t>N 40%, G 33%, S 16%, T  3%, V  2%, A  1%, Y  1%, H  1%</t>
  </si>
  <si>
    <t xml:space="preserve"> LYS:32:A</t>
  </si>
  <si>
    <t>K 48%, R 39%, Q  9%, A  1%, T  1%</t>
  </si>
  <si>
    <t xml:space="preserve"> GLY:33:A</t>
  </si>
  <si>
    <t xml:space="preserve"> 0.583,  1.713  4,3</t>
  </si>
  <si>
    <t>G 33%, V 26%, A 22%, S 13%, T  2%, I  2%</t>
  </si>
  <si>
    <t>V 71%, M  9%, A  4%, L  3%, T  3%, I  2%, S  2%, F  1%, E  1%</t>
  </si>
  <si>
    <t xml:space="preserve"> ASP:35:A</t>
  </si>
  <si>
    <t>D 79%, N 10%, E  4%, G  2%, S  2%, T  1%</t>
  </si>
  <si>
    <t xml:space="preserve"> ARG:36:A</t>
  </si>
  <si>
    <t>R 67%, K 17%, Q  8%, H  2%, D  1%, S  1%, V  1%, M  1%, C  1%</t>
  </si>
  <si>
    <t xml:space="preserve"> VAL:37:A</t>
  </si>
  <si>
    <t>A 50%, M 20%, V 16%, G  7%, L  3%, T  1%, E  1%</t>
  </si>
  <si>
    <t xml:space="preserve"> GLN:38:A</t>
  </si>
  <si>
    <t xml:space="preserve"> 0.387,  0.832  4,4</t>
  </si>
  <si>
    <t>Q 28%, S 28%, T 19%, A 12%, M  7%, D  2%, N &lt;1%, G &lt;1%</t>
  </si>
  <si>
    <t xml:space="preserve"> ASP:39:A</t>
  </si>
  <si>
    <t>D 91%, E  5%, N  3%, Y &lt;1%</t>
  </si>
  <si>
    <t xml:space="preserve"> GLU:40:A</t>
  </si>
  <si>
    <t>E 82%, D  7%, G  4%, T  2%, Q &lt;1%, S &lt;1%, H &lt;1%, P &lt;1%, N &lt;1%</t>
  </si>
  <si>
    <t xml:space="preserve"> TYR:41:A</t>
  </si>
  <si>
    <t>-0.587, -0.212  8,6</t>
  </si>
  <si>
    <t>Y 96%, F &lt;1%, L &lt;1%, H &lt;1%, W &lt;1%</t>
  </si>
  <si>
    <t>-0.023,  0.387  5,4</t>
  </si>
  <si>
    <t>S 51%, T 38%, A  5%, G  2%, R  1%, V  1%, P  1%</t>
  </si>
  <si>
    <t xml:space="preserve"> ARG:43:A</t>
  </si>
  <si>
    <t xml:space="preserve">  89/150</t>
  </si>
  <si>
    <t>K 30%, H 22%, Q 20%, R 12%, S  5%, G  5%, M  1%, E  1%, P  1%</t>
  </si>
  <si>
    <t xml:space="preserve"> ARG:44:A</t>
  </si>
  <si>
    <t>R 84%, H  5%, N  3%, Q  3%, K  2%, S  1%</t>
  </si>
  <si>
    <t xml:space="preserve"> SER:45:A</t>
  </si>
  <si>
    <t>-0.363,  0.094  7,5</t>
  </si>
  <si>
    <t>S 70%, N 23%, T  2%, A  2%, K  1%, G  1%</t>
  </si>
  <si>
    <t xml:space="preserve"> TYR:46:A</t>
  </si>
  <si>
    <t>-0.631, -0.212  8,6</t>
  </si>
  <si>
    <t>Y 96%, H  1%, N  1%, M  1%</t>
  </si>
  <si>
    <t xml:space="preserve"> SER:47:A</t>
  </si>
  <si>
    <t>S 55%, T 15%, N 11%, K  8%, A  2%, H  2%, R  1%, D  1%, Q  1%, V  1%</t>
  </si>
  <si>
    <t xml:space="preserve"> ARG:48:A</t>
  </si>
  <si>
    <t xml:space="preserve"> 102/150</t>
  </si>
  <si>
    <t>R 86%, Q  5%, T  2%, H  1%, K  1%, E &lt;1%</t>
  </si>
  <si>
    <t xml:space="preserve"> PHE:49:A</t>
  </si>
  <si>
    <t xml:space="preserve"> 105/150</t>
  </si>
  <si>
    <t>F 83%, Y 15%, Q &lt;1%</t>
  </si>
  <si>
    <t xml:space="preserve"> GLU:50:A</t>
  </si>
  <si>
    <t xml:space="preserve"> 0.228,  1.176  5,3</t>
  </si>
  <si>
    <t>Q 54%, E 26%, H  5%, R  3%, K  2%, D  2%, G  2%, T  1%, N  1%, Y  1%</t>
  </si>
  <si>
    <t xml:space="preserve"> GLU:51:A</t>
  </si>
  <si>
    <t xml:space="preserve"> 109/150</t>
  </si>
  <si>
    <t>D 38%, E 37%, N 13%, G  3%, Q  2%, R &lt;1%, K &lt;1%, A &lt;1%, P &lt;1%</t>
  </si>
  <si>
    <t xml:space="preserve"> GLU:52:A</t>
  </si>
  <si>
    <t>E 67%, D 12%, G 10%, N  2%, Q  1%, S  1%, T &lt;1%, R &lt;1%, K &lt;1%, H &lt;1%</t>
  </si>
  <si>
    <t xml:space="preserve"> ASP:53:A</t>
  </si>
  <si>
    <t>D 49%, E 40%, N  5%, V  3%, L  1%</t>
  </si>
  <si>
    <t xml:space="preserve"> ASP:54:A</t>
  </si>
  <si>
    <t>D 67%, E 16%, N  8%, T  2%, R  1%, A  1%, K &lt;1%</t>
  </si>
  <si>
    <t xml:space="preserve"> ASP:55:A</t>
  </si>
  <si>
    <t>D 57%, E 23%, Y 12%, G  2%, M  1%, T &lt;1%, Q &lt;1%</t>
  </si>
  <si>
    <t xml:space="preserve"> ASP:56:A</t>
  </si>
  <si>
    <t>D 51%, E 26%, G 12%, N  7%, T  1%, K &lt;1%</t>
  </si>
  <si>
    <t xml:space="preserve"> ASP:57:A</t>
  </si>
  <si>
    <t>D 56%, E 17%, G 14%, A  3%, S  3%, N  2%, Y &lt;1%</t>
  </si>
  <si>
    <t>Y 55%, D 25%, N  6%, R  3%, F  2%, G  2%, H  1%, Q  1%, A  1%, E  1%, M  1%</t>
  </si>
  <si>
    <t xml:space="preserve"> PRO:59:A</t>
  </si>
  <si>
    <t xml:space="preserve"> 0.832,  3.191  4,1</t>
  </si>
  <si>
    <t xml:space="preserve">  48/150</t>
  </si>
  <si>
    <t>P 43%, G 12%, D 12%, N 12%, A  4%, R  4%, Y  4%, S  2%, H  2%, K  2%</t>
  </si>
  <si>
    <t xml:space="preserve"> ALA:60:A</t>
  </si>
  <si>
    <t xml:space="preserve"> 1.713,  3.191  3,1</t>
  </si>
  <si>
    <t>A 21%, G 17%, S 11%, P  9%, T  9%, R  8%, Q  5%, Y  5%, K  1%, N  1%, D  1%, V  1%, C  1%, I &lt;1%, L &lt;1%, H &lt;1%</t>
  </si>
  <si>
    <t xml:space="preserve"> PRO:61:A</t>
  </si>
  <si>
    <t>P 27%, Q 24%, N 18%, G  6%, S  5%, Y  4%, E  3%, R  2%, H  2%, D  1%, A  1%, K &lt;1%</t>
  </si>
  <si>
    <t xml:space="preserve"> SER:62:A</t>
  </si>
  <si>
    <t xml:space="preserve"> 119/150</t>
  </si>
  <si>
    <t>Q 31%, D 22%, P 15%, N  9%, S  5%, G  4%, R  3%, H  3%, E  1%, T  1%, K &lt;1%, L &lt;1%</t>
  </si>
  <si>
    <t xml:space="preserve"> ASP:63:A</t>
  </si>
  <si>
    <t>D 54%, G 19%, P 11%, Q  4%, E  3%, A  3%, S  1%, N  1%, M &lt;1%, H &lt;1%</t>
  </si>
  <si>
    <t xml:space="preserve"> GLY:64:A</t>
  </si>
  <si>
    <t>G 74%, R 10%, S  3%, A  3%, D  2%, N  2%, E  2%, T &lt;1%, V &lt;1%, P &lt;1%</t>
  </si>
  <si>
    <t xml:space="preserve"> TYR:65:A</t>
  </si>
  <si>
    <t>Y 57%, Q 11%, E  6%, H  4%, G  4%, N  4%, F  2%, R  2%, D  1%, K  1%, S &lt;1%, V &lt;1%, T &lt;1%, L &lt;1%</t>
  </si>
  <si>
    <t xml:space="preserve"> TYR:66:A</t>
  </si>
  <si>
    <t xml:space="preserve"> 1.176,  1.713  3,3</t>
  </si>
  <si>
    <t xml:space="preserve"> 131/150</t>
  </si>
  <si>
    <t>Y 51%, D 13%, G 12%, T  4%, P  3%, H  3%, N  3%, R  2%, A  2%, Q &lt;1%, S &lt;1%, E &lt;1%, F &lt;1%</t>
  </si>
  <si>
    <t xml:space="preserve"> ARG:67:A</t>
  </si>
  <si>
    <t>R 56%, Y 20%, H  9%, Q  5%, G  2%, V  1%, E  1%, N  1%, T  1%, P  1%</t>
  </si>
  <si>
    <t xml:space="preserve"> GLY:68:A</t>
  </si>
  <si>
    <t>G 29%, S 17%, Q 17%, N 13%, R  6%, A  4%, P  4%, T  3%, D  2%, H  1%, E  1%</t>
  </si>
  <si>
    <t xml:space="preserve"> GLU:69:A</t>
  </si>
  <si>
    <t>G 39%, D 26%, Y 13%, A  5%, T  5%, E  3%, N  2%, S  2%, H &lt;1%, C &lt;1%, P &lt;1%</t>
  </si>
  <si>
    <t xml:space="preserve"> GLY:70:A</t>
  </si>
  <si>
    <t>S 25%, D 20%, E 17%, G 11%, N  9%, Q  5%, T  3%, Y  2%, P  1%, A  1%, H  1%, K &lt;1%, V &lt;1%</t>
  </si>
  <si>
    <t xml:space="preserve"> THR:71:A</t>
  </si>
  <si>
    <t>G 21%, R 16%, Y 14%, A  9%, Q  9%, D  7%, E  7%, H  2%, S  2%, T  1%, P  1%, L  1%, N  1%, V &lt;1%, I &lt;1%, F &lt;1%</t>
  </si>
  <si>
    <t xml:space="preserve"> GLN:72:A</t>
  </si>
  <si>
    <t xml:space="preserve"> 136/150</t>
  </si>
  <si>
    <t>A 30%, P 23%, Y  9%, E  7%, Q  5%, T  5%, S  5%, G  3%, R  2%, N  2%, L  1%, H &lt;1%, V &lt;1%, M &lt;1%, D &lt;1%, K &lt;1%</t>
  </si>
  <si>
    <t xml:space="preserve"> ASP:73:A</t>
  </si>
  <si>
    <t>N 40%, A 15%, P 12%, R  6%, D  5%, H  5%, Q  4%, G  2%, T  2%, E  1%, L  1%, M &lt;1%, S &lt;1%, K &lt;1%</t>
  </si>
  <si>
    <t xml:space="preserve"> GLU:74:A</t>
  </si>
  <si>
    <t xml:space="preserve"> 146/150</t>
  </si>
  <si>
    <t>D 41%, Q 27%, N 11%, E 10%, H  2%, P  2%, G  1%, T  1%, A &lt;1%, S &lt;1%, K &lt;1%</t>
  </si>
  <si>
    <t xml:space="preserve"> GLU:75:A</t>
  </si>
  <si>
    <t>D 46%, E 39%, N 10%, Q  1%, K &lt;1%, Y &lt;1%</t>
  </si>
  <si>
    <t xml:space="preserve"> GLU:76:A</t>
  </si>
  <si>
    <t>E 71%, D 27%, G &lt;1%, S &lt;1%</t>
  </si>
  <si>
    <t xml:space="preserve"> GLY:77:A</t>
  </si>
  <si>
    <t>-0.212,  1.176  6,3</t>
  </si>
  <si>
    <t xml:space="preserve">   7/150</t>
  </si>
  <si>
    <t>E 42%, G 28%, A 28%</t>
  </si>
  <si>
    <t xml:space="preserve"> GLY:78:A</t>
  </si>
  <si>
    <t>D 36%, G 31%, E 28%, A  1%, H &lt;1%, Q &lt;1%</t>
  </si>
  <si>
    <t xml:space="preserve"> ALA:79:A</t>
  </si>
  <si>
    <t>A 51%, G 44%, Y  2%, V &lt;1%</t>
  </si>
  <si>
    <t xml:space="preserve"> SER:80:A</t>
  </si>
  <si>
    <t>-0.587, -0.363  8,7</t>
  </si>
  <si>
    <t>S 42%, H 21%, A 20%, Q 11%, D  2%, R  1%</t>
  </si>
  <si>
    <t xml:space="preserve"> SER:81:A</t>
  </si>
  <si>
    <t>-0.951, -0.925  9,9</t>
  </si>
  <si>
    <t>S</t>
  </si>
  <si>
    <t xml:space="preserve"> ASP:82:A</t>
  </si>
  <si>
    <t>-0.672, -0.427  8,7</t>
  </si>
  <si>
    <t>D 90%, E  9%</t>
  </si>
  <si>
    <t xml:space="preserve"> ALA:83:A</t>
  </si>
  <si>
    <t>-0.485, -0.212  7,6</t>
  </si>
  <si>
    <t>A 66%, S 22%, V  8%, D &lt;1%, G &lt;1%, E &lt;1%</t>
  </si>
  <si>
    <t xml:space="preserve"> THR:84:A</t>
  </si>
  <si>
    <t>-0.951, -0.910  9,9</t>
  </si>
  <si>
    <t>T</t>
  </si>
  <si>
    <t xml:space="preserve"> GLU:85:A</t>
  </si>
  <si>
    <t>-0.925, -0.804  9,9</t>
  </si>
  <si>
    <t>E 99%, D &lt;1%</t>
  </si>
  <si>
    <t xml:space="preserve"> GLY:86:A</t>
  </si>
  <si>
    <t>G</t>
  </si>
  <si>
    <t xml:space="preserve"> HIS:87:A</t>
  </si>
  <si>
    <t>-0.775, -0.587  9,8</t>
  </si>
  <si>
    <t>H 94%, Q  2%, A  2%, R  1%</t>
  </si>
  <si>
    <t xml:space="preserve"> ASP:88:A</t>
  </si>
  <si>
    <t>D</t>
  </si>
  <si>
    <t xml:space="preserve"> GLU:89:A</t>
  </si>
  <si>
    <t>-0.538, -0.212  8,6</t>
  </si>
  <si>
    <t>E 70%, D 29%</t>
  </si>
  <si>
    <t xml:space="preserve"> ASP:90:A</t>
  </si>
  <si>
    <t>D 53%, E 46%</t>
  </si>
  <si>
    <t xml:space="preserve"> ASP:91:A</t>
  </si>
  <si>
    <t>-0.775, -0.538  9,8</t>
  </si>
  <si>
    <t>D 96%, N  1%, E  1%, A &lt;1%</t>
  </si>
  <si>
    <t xml:space="preserve"> GLU:92:A</t>
  </si>
  <si>
    <t>-0.744, -0.538  9,8</t>
  </si>
  <si>
    <t>E 84%, Q 14%, A &lt;1%</t>
  </si>
  <si>
    <t xml:space="preserve"> ILE:93:A</t>
  </si>
  <si>
    <t>-0.587, -0.291  8,6</t>
  </si>
  <si>
    <t>I 74%, M 17%, V  7%, G &lt;1%</t>
  </si>
  <si>
    <t xml:space="preserve"> TYR:94:A</t>
  </si>
  <si>
    <t>Y</t>
  </si>
  <si>
    <t xml:space="preserve"> GLU:95:A</t>
  </si>
  <si>
    <t>E</t>
  </si>
  <si>
    <t xml:space="preserve"> GLY:96:A</t>
  </si>
  <si>
    <t xml:space="preserve"> GLU:97:A</t>
  </si>
  <si>
    <t xml:space="preserve"> TYR:98:A</t>
  </si>
  <si>
    <t xml:space="preserve"> GLN:99:A</t>
  </si>
  <si>
    <t>GLY:100:A</t>
  </si>
  <si>
    <t>ILE:101:A</t>
  </si>
  <si>
    <t>-0.710, -0.485  8,7</t>
  </si>
  <si>
    <t>I 84%, V 14%, A &lt;1%</t>
  </si>
  <si>
    <t>PRO:102:A</t>
  </si>
  <si>
    <t>-0.910, -0.775  9,9</t>
  </si>
  <si>
    <t>P 99%, S &lt;1%</t>
  </si>
  <si>
    <t>ARG:103:A</t>
  </si>
  <si>
    <t>H 32%, R 29%, A 16%, S 12%, N  3%, M  1%, G  1%, K &lt;1%, V &lt;1%, E &lt;1%, D &lt;1%</t>
  </si>
  <si>
    <t>A 32%, P 31%, G  8%, M  5%, Y  5%, R  3%, H  2%, N  2%, T  2%, D  2%, V  1%, E  1%, L &lt;1%, Q &lt;1%</t>
  </si>
  <si>
    <t>GLU:105:A</t>
  </si>
  <si>
    <t xml:space="preserve"> 144/150</t>
  </si>
  <si>
    <t>D 51%, G 20%, E  6%, N  5%, S  4%, T  3%, Q  2%, H  1%, K  1%, A  1%, C &lt;1%, P &lt;1%</t>
  </si>
  <si>
    <t>SER:106:A</t>
  </si>
  <si>
    <t xml:space="preserve"> 145/150</t>
  </si>
  <si>
    <t>D 31%, S 27%, E 16%, Q 11%, G  4%, A  2%, P  2%, K  2%, N  1%, T &lt;1%, R &lt;1%</t>
  </si>
  <si>
    <t>GLY:107:A</t>
  </si>
  <si>
    <t>G 28%, I 14%, V 13%, P  8%, A  6%, L  6%, H  6%, D  3%, S  2%, M  2%, Q  2%, K  1%, T  1%, E &lt;1%, N &lt;1%, F &lt;1%</t>
  </si>
  <si>
    <t>GLY:108:A</t>
  </si>
  <si>
    <t>K 72%, R 13%, G  2%, Q  2%, S  2%, L  1%, A &lt;1%, E &lt;1%, M &lt;1%, N &lt;1%, I &lt;1%, P &lt;1%</t>
  </si>
  <si>
    <t>LYS:109:A</t>
  </si>
  <si>
    <t>A 33%, D 22%, E 15%, G  9%, K  4%, T  3%, V  3%, S  2%, P  2%, L &lt;1%, Q &lt;1%, H &lt;1%, N &lt;1%</t>
  </si>
  <si>
    <t>G 40%, A 19%, S 10%, K  8%, D  6%, N  5%, Q  2%, E  1%, P  1%, V  1%, R  1%, H &lt;1%</t>
  </si>
  <si>
    <t>GLU:111:A</t>
  </si>
  <si>
    <t>Q 35%, G 13%, R 11%, H  7%, L  6%, I  5%, E  4%, K  4%, P  2%, D  2%, S  1%, N  1%, M  1%, V  1%, A &lt;1%</t>
  </si>
  <si>
    <t>ARG:112:A</t>
  </si>
  <si>
    <t xml:space="preserve">  31/150</t>
  </si>
  <si>
    <t>R 22%, Q 19%, K 19%, S  9%, A  6%, G  6%, V  6%, T  6%, E  3%</t>
  </si>
  <si>
    <t>MET:113:A</t>
  </si>
  <si>
    <t>V 28%, R 18%, A 12%, L 11%, M 11%, K  9%, I  1%, T  1%, P  1%, D  1%, G &lt;1%, N &lt;1%, S &lt;1%, W &lt;1%</t>
  </si>
  <si>
    <t>ALA:114:A</t>
  </si>
  <si>
    <t>A 52%, G 17%, D 11%, S  8%, V  4%, T  2%, K  1%, H &lt;1%, E &lt;1%, Q &lt;1%, L &lt;1%</t>
  </si>
  <si>
    <t>ASP:115:A</t>
  </si>
  <si>
    <t>L 25%, G 22%, A 22%, V  9%, P  5%, S  4%, D  2%, M  2%, T  1%, N &lt;1%, Y &lt;1%, R &lt;1%, Q &lt;1%, K &lt;1%, W &lt;1%</t>
  </si>
  <si>
    <t>GLY:116:A</t>
  </si>
  <si>
    <t>G 38%, A 15%, R 15%, P  6%, S  5%, V  4%, E  2%, D  2%, T  2%, L  1%, W  1%, N &lt;1%, H &lt;1%, Q &lt;1%, I &lt;1%, M &lt;1%, K &lt;1%</t>
  </si>
  <si>
    <t>ALA:117:A</t>
  </si>
  <si>
    <t>Q 56%, G 12%, A  7%, E  5%, P  4%, T  4%, V  3%, D  1%, S  1%, M  1%, R  1%, K  1%, H  1%, W  1%</t>
  </si>
  <si>
    <t>PRO:118:A</t>
  </si>
  <si>
    <t xml:space="preserve">  98/150</t>
  </si>
  <si>
    <t>P 54%, A 29%, L  6%, G  3%, V  3%, Q  2%, S  1%, T  1%</t>
  </si>
  <si>
    <t>LEU:119:A</t>
  </si>
  <si>
    <t>V 24%, A 18%, G 10%, L  9%, M  7%, T  4%, I  4%, P  4%, Q  4%, K  4%, R  3%, E  2%, D &lt;1%, S &lt;1%, F &lt;1%</t>
  </si>
  <si>
    <t>ALA:120:A</t>
  </si>
  <si>
    <t>A 24%, S 22%, G 12%, K 10%, E  7%, P  6%, Q  4%, V  4%, R  2%, M  1%, T  1%, D &lt;1%, H &lt;1%, N &lt;1%</t>
  </si>
  <si>
    <t>GLY:121:A</t>
  </si>
  <si>
    <t>D 51%, A 17%, Q 13%, G  5%, P  2%, N  2%, E  2%, S  1%, T  1%, R &lt;1%, H &lt;1%</t>
  </si>
  <si>
    <t>VAL:122:A</t>
  </si>
  <si>
    <t>Q 24%, E 19%, S 15%, A 14%, G 11%, D  5%, P  3%, H  2%, V  1%, M &lt;1%, N &lt;1%</t>
  </si>
  <si>
    <t>ARG:123:A</t>
  </si>
  <si>
    <t>F 41%, Y 17%, L 14%, M  8%, T  8%, A  3%, R  1%, I  1%, K &lt;1%, G &lt;1%</t>
  </si>
  <si>
    <t>GLY:124:A</t>
  </si>
  <si>
    <t xml:space="preserve"> 132/150</t>
  </si>
  <si>
    <t>R 57%, K 32%, G  3%, A  2%, S  1%, E &lt;1%, H &lt;1%, Q &lt;1%</t>
  </si>
  <si>
    <t>GLY:125:A</t>
  </si>
  <si>
    <t>D 68%, E  7%, A  6%, S  5%, G  3%, R  3%, P  1%, T  1%, H  1%, K &lt;1%</t>
  </si>
  <si>
    <t xml:space="preserve">   6*</t>
  </si>
  <si>
    <t>-0.875,  0.094  9,5</t>
  </si>
  <si>
    <t xml:space="preserve">   1/150</t>
  </si>
  <si>
    <t>L</t>
  </si>
  <si>
    <t>SER:127:A</t>
  </si>
  <si>
    <t>-0.875, -0.023  9,5</t>
  </si>
  <si>
    <t>ASP:128:A</t>
  </si>
  <si>
    <t>GLY:129:A</t>
  </si>
  <si>
    <t xml:space="preserve">   4*</t>
  </si>
  <si>
    <t>-0.363,  1.176  7,3</t>
  </si>
  <si>
    <t xml:space="preserve">   2/150</t>
  </si>
  <si>
    <t>G 50%, A 50%</t>
  </si>
  <si>
    <t>GLU:130:A</t>
  </si>
  <si>
    <t>-0.427,  0.832  7,4</t>
  </si>
  <si>
    <t>E 50%, D 50%</t>
  </si>
  <si>
    <t>GLY:131:A</t>
  </si>
  <si>
    <t xml:space="preserve">   7*</t>
  </si>
  <si>
    <t>-0.894, -0.212  9,6</t>
  </si>
  <si>
    <t>PRO:132:A</t>
  </si>
  <si>
    <t>P</t>
  </si>
  <si>
    <t>PRO:133:A</t>
  </si>
  <si>
    <t>-0.123,  1.713  6,3</t>
  </si>
  <si>
    <t xml:space="preserve">   4/150</t>
  </si>
  <si>
    <t>A 50%, P 25%, G 25%</t>
  </si>
  <si>
    <t>GLY:134:A</t>
  </si>
  <si>
    <t xml:space="preserve"> 134/150</t>
  </si>
  <si>
    <t>R 37%, L 12%, K 11%, F  9%, Q  6%, H  6%, I  4%, A  2%, G  2%, V  1%, M &lt;1%, S &lt;1%, P &lt;1%, Y &lt;1%, E &lt;1%, X &lt;1%</t>
  </si>
  <si>
    <t>GLY:135:A</t>
  </si>
  <si>
    <t>A 28%, K 17%, G 13%, S 10%, R  9%, D  5%, H  4%, T  4%, L  1%, Q  1%, W  1%, N &lt;1%, E &lt;1%, X &lt;1%</t>
  </si>
  <si>
    <t>ARG:136:A</t>
  </si>
  <si>
    <t>E 36%, D 23%, R 12%, A 12%, Q  4%, V  4%, G  3%, K &lt;1%, F &lt;1%, X &lt;1%</t>
  </si>
  <si>
    <t>GLY:137:A</t>
  </si>
  <si>
    <t>L 54%, S 10%, Y  8%, A  6%, T  4%, Q  3%, F  2%, G  2%, M  2%, V  1%, P &lt;1%, R &lt;1%, I &lt;1%, X &lt;1%</t>
  </si>
  <si>
    <t>GLU:138:A</t>
  </si>
  <si>
    <t>E 62%, A 16%, M  7%, I  4%, T  2%, L  1%, V  1%, D  1%, Q  1%, X &lt;1%</t>
  </si>
  <si>
    <t>ALA:139:A</t>
  </si>
  <si>
    <t>A 37%, G 17%, S 11%, Q  9%, N  6%, T  5%, K  3%, D  2%, R  2%, E  1%, V &lt;1%, L &lt;1%, M &lt;1%, H &lt;1%</t>
  </si>
  <si>
    <t>GLN:140:A</t>
  </si>
  <si>
    <t>E 77%, Q  7%, A  3%, S  3%, D  3%, G  2%, N &lt;1%, R &lt;1%, T &lt;1%</t>
  </si>
  <si>
    <t>ARG:141:A</t>
  </si>
  <si>
    <t>R 78%, A  6%, G  5%, K  2%, Q  2%, L  1%, S &lt;1%, C &lt;1%, D &lt;1%, W &lt;1%, P &lt;1%</t>
  </si>
  <si>
    <t>ARG:142:A</t>
  </si>
  <si>
    <t>R 32%, Q 22%, M 12%, K  9%, E  6%, V  6%, L  4%, A  2%, I  1%, T &lt;1%, G &lt;1%, D &lt;1%, S &lt;1%</t>
  </si>
  <si>
    <t>LYS:143:A</t>
  </si>
  <si>
    <t>A 32%, K 30%, E 14%, S 10%, R  4%, Q  2%, T  2%, D  2%, P  1%, G &lt;1%, N &lt;1%</t>
  </si>
  <si>
    <t>GLU:144:A</t>
  </si>
  <si>
    <t>D 78%, E 18%, G  1%, S &lt;1%, H &lt;1%, V &lt;1%</t>
  </si>
  <si>
    <t>ARG:145:A</t>
  </si>
  <si>
    <t>E 54%, Q 22%, R 10%, L  6%, K  3%, D  1%, A &lt;1%, S &lt;1%, P &lt;1%</t>
  </si>
  <si>
    <t>GLU:146:A</t>
  </si>
  <si>
    <t>E 92%, Q  2%, D  2%, K &lt;1%, G &lt;1%, N &lt;1%</t>
  </si>
  <si>
    <t>GLU:147:A</t>
  </si>
  <si>
    <t>-0.363, -0.023  7,5</t>
  </si>
  <si>
    <t>E 78%, Q 14%, T  2%, S  1%, D  1%, N  1%, G &lt;1%</t>
  </si>
  <si>
    <t>LEU:148:A</t>
  </si>
  <si>
    <t>L 98%, M  1%, F &lt;1%</t>
  </si>
  <si>
    <t>A 90%, S  6%, P  3%</t>
  </si>
  <si>
    <t>GLN:150:A</t>
  </si>
  <si>
    <t>Q 64%, E 18%, H 11%, Y  2%, D  2%, R &lt;1%, S &lt;1%</t>
  </si>
  <si>
    <t>GLN:151:A</t>
  </si>
  <si>
    <t>-0.854, -0.672  9,8</t>
  </si>
  <si>
    <t>Q 98%, E  1%, R &lt;1%</t>
  </si>
  <si>
    <t>TYR:152:A</t>
  </si>
  <si>
    <t>GLU:153:A</t>
  </si>
  <si>
    <t>ALA:154:A</t>
  </si>
  <si>
    <t>L 41%, T 24%, N 11%, D  7%, A  6%, S  4%, V  2%, E  1%, G &lt;1%, Y &lt;1%</t>
  </si>
  <si>
    <t>ILE:155:A</t>
  </si>
  <si>
    <t>-0.936, -0.854  9,9</t>
  </si>
  <si>
    <t>I 99%, V &lt;1%</t>
  </si>
  <si>
    <t>LEU:156:A</t>
  </si>
  <si>
    <t>I 39%, L 34%, M 26%</t>
  </si>
  <si>
    <t>ARG:157:A</t>
  </si>
  <si>
    <t>Q 71%, E 24%, R  1%, D  1%, V &lt;1%, A &lt;1%</t>
  </si>
  <si>
    <t>GLU:158:A</t>
  </si>
  <si>
    <t>E 82%, D 16%, R &lt;1%</t>
  </si>
  <si>
    <t>CYS:159:A</t>
  </si>
  <si>
    <t>-0.894, -0.744  9,9</t>
  </si>
  <si>
    <t>C 99%, G &lt;1%</t>
  </si>
  <si>
    <t>GLY:160:A</t>
  </si>
  <si>
    <t>G 98%, S  1%, A &lt;1%</t>
  </si>
  <si>
    <t>HIS:161:A</t>
  </si>
  <si>
    <t>-0.925, -0.830  9,9</t>
  </si>
  <si>
    <t>H 99%, R &lt;1%</t>
  </si>
  <si>
    <t>GLY:162:A</t>
  </si>
  <si>
    <t>-0.854, -0.631  9,8</t>
  </si>
  <si>
    <t>G 98%, I &lt;1%, S &lt;1%</t>
  </si>
  <si>
    <t>ARG:163:A</t>
  </si>
  <si>
    <t>R 77%, K 21%, S &lt;1%, E &lt;1%</t>
  </si>
  <si>
    <t>PHE:164:A</t>
  </si>
  <si>
    <t>F 98%, Y &lt;1%, R &lt;1%</t>
  </si>
  <si>
    <t>GLN:165:A</t>
  </si>
  <si>
    <t>Q 99%, N &lt;1%</t>
  </si>
  <si>
    <t>TRP:166:A</t>
  </si>
  <si>
    <t>-0.945, -0.804  9,9</t>
  </si>
  <si>
    <t>THR:167:A</t>
  </si>
  <si>
    <t>T 48%, Q 26%, M  7%, S  5%, A  4%, I  3%, L  2%, C &lt;1%, V &lt;1%, R &lt;1%, H &lt;1%</t>
  </si>
  <si>
    <t>LEU:168:A</t>
  </si>
  <si>
    <t>L 99%, F &lt;1%</t>
  </si>
  <si>
    <t>TYR:169:A</t>
  </si>
  <si>
    <t>F 65%, Y 34%</t>
  </si>
  <si>
    <t>PHE:170:A</t>
  </si>
  <si>
    <t>F 69%, L 11%, V 10%, I  4%, M  2%, T  1%, A &lt;1%</t>
  </si>
  <si>
    <t>VAL:171:A</t>
  </si>
  <si>
    <t>V 93%, A  3%, T  2%, S  1%</t>
  </si>
  <si>
    <t>LEU:172:A</t>
  </si>
  <si>
    <t>L 93%, T  2%, A  2%, V &lt;1%, I &lt;1%, S &lt;1%</t>
  </si>
  <si>
    <t>GLY:173:A</t>
  </si>
  <si>
    <t>G 99%, S &lt;1%</t>
  </si>
  <si>
    <t>LEU:174:A</t>
  </si>
  <si>
    <t>L 84%, M 14%, I &lt;1%, F &lt;1%, C &lt;1%</t>
  </si>
  <si>
    <t>ALA:175:A</t>
  </si>
  <si>
    <t>A 99%, G &lt;1%</t>
  </si>
  <si>
    <t>LEU:176:A</t>
  </si>
  <si>
    <t>L 99%, V &lt;1%</t>
  </si>
  <si>
    <t>MET:177:A</t>
  </si>
  <si>
    <t>M 99%, T &lt;1%</t>
  </si>
  <si>
    <t>ALA:178:A</t>
  </si>
  <si>
    <t>-0.910, -0.804  9,9</t>
  </si>
  <si>
    <t>A 73%, S 26%, G &lt;1%</t>
  </si>
  <si>
    <t>ASP:179:A</t>
  </si>
  <si>
    <t>GLY:180:A</t>
  </si>
  <si>
    <t>VAL:181:A</t>
  </si>
  <si>
    <t>-0.894, -0.775  9,9</t>
  </si>
  <si>
    <t>V 98%, I &lt;1%, A &lt;1%</t>
  </si>
  <si>
    <t>GLU:182:A</t>
  </si>
  <si>
    <t>E 96%, D  3%</t>
  </si>
  <si>
    <t>VAL:183:A</t>
  </si>
  <si>
    <t>V 54%, I 26%, C 14%, G  3%, M  1%, L &lt;1%</t>
  </si>
  <si>
    <t>PHE:184:A</t>
  </si>
  <si>
    <t>F 98%, Y  2%</t>
  </si>
  <si>
    <t>VAL:185:A</t>
  </si>
  <si>
    <t>-0.875, -0.710  9,8</t>
  </si>
  <si>
    <t>V 97%, M  1%, I  1%</t>
  </si>
  <si>
    <t>VAL:186:A</t>
  </si>
  <si>
    <t>V</t>
  </si>
  <si>
    <t>GLY:187:A</t>
  </si>
  <si>
    <t>G 86%, A  9%, S  4%</t>
  </si>
  <si>
    <t>PHE:188:A</t>
  </si>
  <si>
    <t>F 98%, L  1%</t>
  </si>
  <si>
    <t>VAL:189:A</t>
  </si>
  <si>
    <t>V 94%, A  6%</t>
  </si>
  <si>
    <t>LEU:190:A</t>
  </si>
  <si>
    <t>L 98%, M  2%</t>
  </si>
  <si>
    <t>PRO:191:A</t>
  </si>
  <si>
    <t>S 98%, F &lt;1%, V &lt;1%</t>
  </si>
  <si>
    <t>ALA:193:A</t>
  </si>
  <si>
    <t>GLU:194:A</t>
  </si>
  <si>
    <t>E 98%, Q  1%</t>
  </si>
  <si>
    <t>LYS:195:A</t>
  </si>
  <si>
    <t>K 58%, T 32%, R  4%, I  1%, L  1%, V &lt;1%, Q &lt;1%</t>
  </si>
  <si>
    <t>ASP:196:A</t>
  </si>
  <si>
    <t>D 98%, A &lt;1%, Y &lt;1%, N &lt;1%</t>
  </si>
  <si>
    <t>MET:197:A</t>
  </si>
  <si>
    <t>M 86%, L 11%, V  1%, I &lt;1%</t>
  </si>
  <si>
    <t>CYS:198:A</t>
  </si>
  <si>
    <t>LEU:199:A</t>
  </si>
  <si>
    <t>L 56%, V 24%, I 12%, M  4%, A &lt;1%, Y &lt;1%, T &lt;1%</t>
  </si>
  <si>
    <t>SER:200:A</t>
  </si>
  <si>
    <t>S 63%, P 34%, T  2%</t>
  </si>
  <si>
    <t>ASP:201:A</t>
  </si>
  <si>
    <t>N 46%, E 23%, D 16%, S  8%, R  2%, H  1%, T &lt;1%, Q &lt;1%</t>
  </si>
  <si>
    <t>SER:202:A</t>
  </si>
  <si>
    <t>-0.538, -0.291  8,6</t>
  </si>
  <si>
    <t>S 56%, P 21%, A 18%, E  3%, Q &lt;1%, G &lt;1%</t>
  </si>
  <si>
    <t>ASN:203:A</t>
  </si>
  <si>
    <t>-0.123,  0.228  6,5</t>
  </si>
  <si>
    <t>N 46%, G 22%, S 14%, E  8%, D  3%, K  2%, R  2%, Q &lt;1%</t>
  </si>
  <si>
    <t>LYS:204:A</t>
  </si>
  <si>
    <t>K 64%, S 20%, A 14%</t>
  </si>
  <si>
    <t>GLY:205:A</t>
  </si>
  <si>
    <t>-0.744, -0.485  9,7</t>
  </si>
  <si>
    <t>G 91%, S  8%</t>
  </si>
  <si>
    <t>MET:206:A</t>
  </si>
  <si>
    <t>M 59%, W 36%, L  2%, A &lt;1%, T &lt;1%</t>
  </si>
  <si>
    <t>LEU:207:A</t>
  </si>
  <si>
    <t>L 99%, M &lt;1%</t>
  </si>
  <si>
    <t>GLY:208:A</t>
  </si>
  <si>
    <t>LEU:209:A</t>
  </si>
  <si>
    <t>L 61%, S 32%, G  1%, E &lt;1%, C &lt;1%, T &lt;1%, M &lt;1%, I &lt;1%, K &lt;1%</t>
  </si>
  <si>
    <t>ILE:210:A</t>
  </si>
  <si>
    <t>I 78%, V 11%, L  5%, M  1%, F  1%, T  1%, C &lt;1%</t>
  </si>
  <si>
    <t>VAL:211:A</t>
  </si>
  <si>
    <t>-0.830, -0.672  9,8</t>
  </si>
  <si>
    <t>V 97%, I  1%, E &lt;1%, C &lt;1%</t>
  </si>
  <si>
    <t>TYR:212:A</t>
  </si>
  <si>
    <t>Y 89%, F  9%, G &lt;1%, C &lt;1%</t>
  </si>
  <si>
    <t>LEU:213:A</t>
  </si>
  <si>
    <t>L 81%, V  9%, F  6%, T  1%, I &lt;1%, M &lt;1%</t>
  </si>
  <si>
    <t>GLY:214:A</t>
  </si>
  <si>
    <t>-0.672, -0.363  8,7</t>
  </si>
  <si>
    <t>G 92%, S  5%, A  2%</t>
  </si>
  <si>
    <t>MET:215:A</t>
  </si>
  <si>
    <t>M 98%, T &lt;1%, D &lt;1%</t>
  </si>
  <si>
    <t>MET:216:A</t>
  </si>
  <si>
    <t>M 98%, G &lt;1%, D &lt;1%</t>
  </si>
  <si>
    <t>VAL:217:A</t>
  </si>
  <si>
    <t>V 69%, L 10%, F  7%, A  5%, M  2%, I  2%, T  1%, S &lt;1%, D &lt;1%</t>
  </si>
  <si>
    <t>GLY:218:A</t>
  </si>
  <si>
    <t>ALA:219:A</t>
  </si>
  <si>
    <t>A 96%, S  2%, R &lt;1%, G &lt;1%</t>
  </si>
  <si>
    <t>PHE:220:A</t>
  </si>
  <si>
    <t>F 87%, L  6%, V  4%, I  2%, G &lt;1%</t>
  </si>
  <si>
    <t>LEU:221:A</t>
  </si>
  <si>
    <t>F 36%, L 30%, V 24%, I  7%, M  2%, S &lt;1%</t>
  </si>
  <si>
    <t>TRP:222:A</t>
  </si>
  <si>
    <t>W 96%, L  4%</t>
  </si>
  <si>
    <t>GLY:223:A</t>
  </si>
  <si>
    <t>G 98%, R &lt;1%, S &lt;1%</t>
  </si>
  <si>
    <t>GLY:224:A</t>
  </si>
  <si>
    <t>-0.631, -0.363  8,7</t>
  </si>
  <si>
    <t>G 90%, A  6%, C  1%, D &lt;1%, T &lt;1%, S &lt;1%</t>
  </si>
  <si>
    <t>LEU:225:A</t>
  </si>
  <si>
    <t>L 80%, M 19%, S &lt;1%</t>
  </si>
  <si>
    <t>ALA:226:A</t>
  </si>
  <si>
    <t>A 72%, S 24%, C  2%, W &lt;1%</t>
  </si>
  <si>
    <t>ASP:227:A</t>
  </si>
  <si>
    <t>ARG:228:A</t>
  </si>
  <si>
    <t>K 65%, R 32%, M &lt;1%, Q &lt;1%, H &lt;1%</t>
  </si>
  <si>
    <t>LEU:229:A</t>
  </si>
  <si>
    <t>V 38%, I 30%, L 21%, M  7%, A  1%, G &lt;1%, Q &lt;1%</t>
  </si>
  <si>
    <t>GLY:230:A</t>
  </si>
  <si>
    <t>ARG:231:A</t>
  </si>
  <si>
    <t>R 99%, M &lt;1%</t>
  </si>
  <si>
    <t>ARG:232:A</t>
  </si>
  <si>
    <t>R 75%, K 24%</t>
  </si>
  <si>
    <t>GLN:233:A</t>
  </si>
  <si>
    <t>Q 70%, K 17%, R  9%, Y  1%, D &lt;1%, E &lt;1%</t>
  </si>
  <si>
    <t>CYS:234:A</t>
  </si>
  <si>
    <t>C 62%, S 16%, T 14%, V  3%, I  2%, R &lt;1%, A &lt;1%</t>
  </si>
  <si>
    <t>LEU:235:A</t>
  </si>
  <si>
    <t>-0.910, -0.744  9,9</t>
  </si>
  <si>
    <t>L 99%, G &lt;1%</t>
  </si>
  <si>
    <t>LEU:236:A</t>
  </si>
  <si>
    <t>L 66%, I 18%, V  4%, T  3%, M  2%, S  2%, F  1%, G  1%, K &lt;1%</t>
  </si>
  <si>
    <t>ILE:237:A</t>
  </si>
  <si>
    <t>I 72%, V 10%, M  6%, Y  3%, T  2%, L  2%, W  1%, A &lt;1%, S &lt;1%</t>
  </si>
  <si>
    <t>SER:238:A</t>
  </si>
  <si>
    <t>S 44%, C 28%, A 21%, V  3%, G  1%, L &lt;1%</t>
  </si>
  <si>
    <t>LEU:239:A</t>
  </si>
  <si>
    <t>-0.830, -0.631  9,8</t>
  </si>
  <si>
    <t>L 66%, M 33%</t>
  </si>
  <si>
    <t>SER:240:A</t>
  </si>
  <si>
    <t>S 72%, A 16%, T  5%, C  1%, D &lt;1%, G &lt;1%, I &lt;1%, F &lt;1%, V &lt;1%, N &lt;1%</t>
  </si>
  <si>
    <t>VAL:241:A</t>
  </si>
  <si>
    <t>I 51%, V 28%, T  8%, L  5%, M  3%, F  3%</t>
  </si>
  <si>
    <t>ASN:242:A</t>
  </si>
  <si>
    <t>-0.804, -0.631  9,8</t>
  </si>
  <si>
    <t>N 93%, D  3%, H  2%, E &lt;1%, T &lt;1%</t>
  </si>
  <si>
    <t>SER:243:A</t>
  </si>
  <si>
    <t>G 37%, S 33%, C 14%, A 12%, L  2%, V &lt;1%</t>
  </si>
  <si>
    <t>VAL:244:A</t>
  </si>
  <si>
    <t>V 37%, F 36%, I 11%, S  6%, A  5%, L  2%, T  1%</t>
  </si>
  <si>
    <t>PHE:245:A</t>
  </si>
  <si>
    <t>F 94%, A  2%, S  2%, C  1%</t>
  </si>
  <si>
    <t>ALA:246:A</t>
  </si>
  <si>
    <t>A 76%, S 18%, V  2%, T  1%, G  1%, I &lt;1%</t>
  </si>
  <si>
    <t>PHE:247:A</t>
  </si>
  <si>
    <t>F 91%, S  3%, C  2%, V  1%, I &lt;1%, T &lt;1%, L &lt;1%</t>
  </si>
  <si>
    <t>PHE:248:A</t>
  </si>
  <si>
    <t>L 61%, F 34%, I  2%, V &lt;1%, M &lt;1%</t>
  </si>
  <si>
    <t>SER:249:A</t>
  </si>
  <si>
    <t>SER:250:A</t>
  </si>
  <si>
    <t>S 96%, C  3%, A &lt;1%</t>
  </si>
  <si>
    <t>PHE:251:A</t>
  </si>
  <si>
    <t>VAL:252:A</t>
  </si>
  <si>
    <t>V 80%, A 17%, M  2%</t>
  </si>
  <si>
    <t>GLN:253:A</t>
  </si>
  <si>
    <t>Q 99%, W &lt;1%</t>
  </si>
  <si>
    <t>GLY:254:A</t>
  </si>
  <si>
    <t>-0.291,  0.228  6,5</t>
  </si>
  <si>
    <t>G 93%, E  2%, S  2%, D  1%, Q &lt;1%</t>
  </si>
  <si>
    <t>TYR:255:A</t>
  </si>
  <si>
    <t>GLY:256:A</t>
  </si>
  <si>
    <t>G 63%, S 31%, V  2%, I &lt;1%, N &lt;1%, D &lt;1%, E &lt;1%</t>
  </si>
  <si>
    <t>THR:257:A</t>
  </si>
  <si>
    <t>F 33%, T 24%, L 12%, S 11%, M 10%, A  3%, V  3%, I  2%</t>
  </si>
  <si>
    <t>PHE:258:A</t>
  </si>
  <si>
    <t>LEU:259:A</t>
  </si>
  <si>
    <t>L 97%, I  2%, V &lt;1%</t>
  </si>
  <si>
    <t>PHE:260:A</t>
  </si>
  <si>
    <t>F 79%, L 14%, V  5%, T &lt;1%</t>
  </si>
  <si>
    <t>CYS:261:A</t>
  </si>
  <si>
    <t>-0.710, -0.363  8,7</t>
  </si>
  <si>
    <t>C 81%, F 17%, L  1%</t>
  </si>
  <si>
    <t>ARG:262:A</t>
  </si>
  <si>
    <t>R 99%, H &lt;1%</t>
  </si>
  <si>
    <t>LEU:263:A</t>
  </si>
  <si>
    <t>L 76%, M 14%, F  6%, V  2%</t>
  </si>
  <si>
    <t>LEU:264:A</t>
  </si>
  <si>
    <t>L 47%, I 20%, V 10%, F  8%, A  7%, C  4%, T &lt;1%</t>
  </si>
  <si>
    <t>SER:265:A</t>
  </si>
  <si>
    <t>S 84%, A 14%, D &lt;1%, C &lt;1%, R &lt;1%</t>
  </si>
  <si>
    <t>GLY:266:A</t>
  </si>
  <si>
    <t>VAL:267:A</t>
  </si>
  <si>
    <t>F 44%, V 32%, I 17%, M  2%, L  2%, A &lt;1%</t>
  </si>
  <si>
    <t>GLY:268:A</t>
  </si>
  <si>
    <t>G 99%, E &lt;1%</t>
  </si>
  <si>
    <t>ILE:269:A</t>
  </si>
  <si>
    <t>I 98%, T &lt;1%, V &lt;1%</t>
  </si>
  <si>
    <t>GLY:270:A</t>
  </si>
  <si>
    <t>GLY:271:A</t>
  </si>
  <si>
    <t>SER:272:A</t>
  </si>
  <si>
    <t>S 52%, A 36%, T  9%, V  1%, I &lt;1%</t>
  </si>
  <si>
    <t>ILE:273:A</t>
  </si>
  <si>
    <t>I 44%, V 41%, L 11%, A  2%</t>
  </si>
  <si>
    <t>PRO:274:A</t>
  </si>
  <si>
    <t>ILE:275:A</t>
  </si>
  <si>
    <t>-0.710, -0.538  8,8</t>
  </si>
  <si>
    <t>I 88%, T  7%, V  4%</t>
  </si>
  <si>
    <t>VAL:276:A</t>
  </si>
  <si>
    <t>-0.875, -0.744  9,9</t>
  </si>
  <si>
    <t>V 98%, A  2%</t>
  </si>
  <si>
    <t>PHE:277:A</t>
  </si>
  <si>
    <t>F 82%, Y 18%</t>
  </si>
  <si>
    <t>SER:278:A</t>
  </si>
  <si>
    <t>S 79%, A 11%, P  4%, T  4%, C &lt;1%</t>
  </si>
  <si>
    <t>TYR:279:A</t>
  </si>
  <si>
    <t>-0.485, -0.023  7,5</t>
  </si>
  <si>
    <t>Y 87%, F 12%, M &lt;1%</t>
  </si>
  <si>
    <t>PHE:280:A</t>
  </si>
  <si>
    <t>F 74%, Y 26%</t>
  </si>
  <si>
    <t>SER:281:A</t>
  </si>
  <si>
    <t>S 62%, A 34%, T  3%, G &lt;1%</t>
  </si>
  <si>
    <t>GLU:282:A</t>
  </si>
  <si>
    <t>PHE:283:A</t>
  </si>
  <si>
    <t>-0.804, -0.587  9,8</t>
  </si>
  <si>
    <t>F 70%, V 29%</t>
  </si>
  <si>
    <t>LEU:284:A</t>
  </si>
  <si>
    <t>ALA:285:A</t>
  </si>
  <si>
    <t>A 58%, S 26%, Q 12%, C  1%, T  1%</t>
  </si>
  <si>
    <t>GLN:286:A</t>
  </si>
  <si>
    <t>R 50%, Q 32%, M 16%, H &lt;1%</t>
  </si>
  <si>
    <t>GLU:287:A</t>
  </si>
  <si>
    <t>E 83%, D 16%, N &lt;1%</t>
  </si>
  <si>
    <t>LYS:288:A</t>
  </si>
  <si>
    <t>K</t>
  </si>
  <si>
    <t>ARG:289:A</t>
  </si>
  <si>
    <t>R</t>
  </si>
  <si>
    <t>GLY:290:A</t>
  </si>
  <si>
    <t>GLU:291:A</t>
  </si>
  <si>
    <t>HIS:292:A</t>
  </si>
  <si>
    <t>H</t>
  </si>
  <si>
    <t>LEU:293:A</t>
  </si>
  <si>
    <t>SER:294:A</t>
  </si>
  <si>
    <t>S 98%, C &lt;1%, G &lt;1%</t>
  </si>
  <si>
    <t>TRP:295:A</t>
  </si>
  <si>
    <t>LEU:296:A</t>
  </si>
  <si>
    <t>L 99%, I &lt;1%</t>
  </si>
  <si>
    <t>CYS:297:A</t>
  </si>
  <si>
    <t>-0.775, -0.485  9,7</t>
  </si>
  <si>
    <t>C 96%, G  2%, S  1%</t>
  </si>
  <si>
    <t>MET:298:A</t>
  </si>
  <si>
    <t>M 98%, I  2%</t>
  </si>
  <si>
    <t>PHE:299:A</t>
  </si>
  <si>
    <t>F 99%, T &lt;1%</t>
  </si>
  <si>
    <t>TRP:300:A</t>
  </si>
  <si>
    <t>-0.875, -0.587  9,8</t>
  </si>
  <si>
    <t>W 98%, G  2%</t>
  </si>
  <si>
    <t>MET:301:A</t>
  </si>
  <si>
    <t>ILE:302:A</t>
  </si>
  <si>
    <t>-0.212,  0.094  6,5</t>
  </si>
  <si>
    <t>I 78%, M  6%, V  6%, F  4%, L  3%, T  2%</t>
  </si>
  <si>
    <t>GLY:303:A</t>
  </si>
  <si>
    <t>GLY:304:A</t>
  </si>
  <si>
    <t>G 84%, E 12%, A  4%</t>
  </si>
  <si>
    <t>VAL:305:A</t>
  </si>
  <si>
    <t>I 88%, L 10%, V &lt;1%</t>
  </si>
  <si>
    <t>TYR:306:A</t>
  </si>
  <si>
    <t>Y 98%, F  1%</t>
  </si>
  <si>
    <t>ALA:307:A</t>
  </si>
  <si>
    <t>ALA:308:A</t>
  </si>
  <si>
    <t>S 96%, A  4%</t>
  </si>
  <si>
    <t>ALA:309:A</t>
  </si>
  <si>
    <t>A 79%, F 14%, S  2%, V  1%, I  1%, M &lt;1%, L &lt;1%</t>
  </si>
  <si>
    <t>MET:310:A</t>
  </si>
  <si>
    <t>M 83%, T 14%, I &lt;1%, L &lt;1%, F &lt;1%</t>
  </si>
  <si>
    <t>ALA:311:A</t>
  </si>
  <si>
    <t>TRP:312:A</t>
  </si>
  <si>
    <t>ALA:313:A</t>
  </si>
  <si>
    <t>A 67%, G 18%, S 10%, L  2%, T  1%, V &lt;1%</t>
  </si>
  <si>
    <t>ILE:314:A</t>
  </si>
  <si>
    <t>I 98%, V  1%</t>
  </si>
  <si>
    <t>ILE:315:A</t>
  </si>
  <si>
    <t>I</t>
  </si>
  <si>
    <t>PRO:316:A</t>
  </si>
  <si>
    <t>HIS:317:A</t>
  </si>
  <si>
    <t>-0.854, -0.710  9,8</t>
  </si>
  <si>
    <t>H 92%, R  7%, N &lt;1%</t>
  </si>
  <si>
    <t>TYR:318:A</t>
  </si>
  <si>
    <t>Y 99%, S &lt;1%</t>
  </si>
  <si>
    <t>GLY:319:A</t>
  </si>
  <si>
    <t>G 99%, V &lt;1%</t>
  </si>
  <si>
    <t>TRP:320:A</t>
  </si>
  <si>
    <t>-0.854, -0.587  9,8</t>
  </si>
  <si>
    <t>W 99%, I &lt;1%</t>
  </si>
  <si>
    <t>SER:321:A</t>
  </si>
  <si>
    <t>S 69%, G 30%, P &lt;1%</t>
  </si>
  <si>
    <t>PHE:322:A</t>
  </si>
  <si>
    <t>F 98%, S &lt;1%, I &lt;1%</t>
  </si>
  <si>
    <t>GLN:323:A</t>
  </si>
  <si>
    <t>S 62%, Q 31%, A  3%, P &lt;1%, N &lt;1%, G &lt;1%, T &lt;1%</t>
  </si>
  <si>
    <t>MET:324:A</t>
  </si>
  <si>
    <t>M 95%, I  2%, D &lt;1%, L &lt;1%</t>
  </si>
  <si>
    <t>GLY:325:A</t>
  </si>
  <si>
    <t>SER:326:A</t>
  </si>
  <si>
    <t>S 71%, T 26%, L  1%, P &lt;1%, A &lt;1%</t>
  </si>
  <si>
    <t>ALA:327:A</t>
  </si>
  <si>
    <t>A 69%, E 14%, N  6%, H  4%, S  2%, K  1%, Q  1%, T &lt;1%</t>
  </si>
  <si>
    <t>TYR:328:A</t>
  </si>
  <si>
    <t>Y 82%, F 15%, L  1%, I &lt;1%</t>
  </si>
  <si>
    <t>GLN:329:A</t>
  </si>
  <si>
    <t>Q 86%, H 12%, E &lt;1%, P &lt;1%</t>
  </si>
  <si>
    <t>PHE:330:A</t>
  </si>
  <si>
    <t>F 94%, Y  2%, I  2%, M  1%, V &lt;1%</t>
  </si>
  <si>
    <t>HIS:331:A</t>
  </si>
  <si>
    <t>H 99%, P &lt;1%</t>
  </si>
  <si>
    <t>SER:332:A</t>
  </si>
  <si>
    <t>S 97%, R &lt;1%, A &lt;1%, T &lt;1%, Q &lt;1%</t>
  </si>
  <si>
    <t>TRP:333:A</t>
  </si>
  <si>
    <t>ARG:334:A</t>
  </si>
  <si>
    <t>VAL:335:A</t>
  </si>
  <si>
    <t>V 95%, L  4%</t>
  </si>
  <si>
    <t>PHE:336:A</t>
  </si>
  <si>
    <t>F 99%, Y &lt;1%</t>
  </si>
  <si>
    <t>VAL:337:A</t>
  </si>
  <si>
    <t>V 94%, I  4%, M &lt;1%</t>
  </si>
  <si>
    <t>LEU:338:A</t>
  </si>
  <si>
    <t>L 49%, V 32%, I 16%, M &lt;1%, F &lt;1%</t>
  </si>
  <si>
    <t>VAL:339:A</t>
  </si>
  <si>
    <t>V 91%, I  4%, M  2%, A  1%, T &lt;1%</t>
  </si>
  <si>
    <t>CYS:340:A</t>
  </si>
  <si>
    <t>C 94%, A  6%</t>
  </si>
  <si>
    <t>ALA:341:A</t>
  </si>
  <si>
    <t>A 88%, V  3%, S  2%, L  2%, T  1%, I  1%, M &lt;1%</t>
  </si>
  <si>
    <t>PHE:342:A</t>
  </si>
  <si>
    <t>L 66%, F 34%</t>
  </si>
  <si>
    <t>PRO:343:A</t>
  </si>
  <si>
    <t>SER:344:A</t>
  </si>
  <si>
    <t>C 46%, S 28%, A 22%, T  1%, G &lt;1%</t>
  </si>
  <si>
    <t>VAL:345:A</t>
  </si>
  <si>
    <t>V 67%, I 21%, L  7%, T  2%, M  1%, A &lt;1%</t>
  </si>
  <si>
    <t>PHE:346:A</t>
  </si>
  <si>
    <t>A 40%, S 22%, C 18%, F  8%, T  3%, V  2%, G  1%, L  1%, I &lt;1%</t>
  </si>
  <si>
    <t>ALA:347:A</t>
  </si>
  <si>
    <t>A 65%, S 34%, G &lt;1%</t>
  </si>
  <si>
    <t>ILE:348:A</t>
  </si>
  <si>
    <t>I 38%, V 36%, L 23%, M &lt;1%, F &lt;1%</t>
  </si>
  <si>
    <t>GLY:349:A</t>
  </si>
  <si>
    <t>V 53%, I 14%, A 13%, G  7%, S  7%, C  2%, L &lt;1%, T &lt;1%</t>
  </si>
  <si>
    <t>ALA:350:A</t>
  </si>
  <si>
    <t>A 79%, G 18%, S  2%, C &lt;1%</t>
  </si>
  <si>
    <t>LEU:351:A</t>
  </si>
  <si>
    <t>L 96%, V  1%, I  1%, M &lt;1%</t>
  </si>
  <si>
    <t>THR:352:A</t>
  </si>
  <si>
    <t>T 63%, K 10%, N  7%, S  6%, M  4%, I  3%, L  2%, V  2%, R &lt;1%, F &lt;1%, Y &lt;1%</t>
  </si>
  <si>
    <t>THR:353:A</t>
  </si>
  <si>
    <t>F 67%, T 20%, A  6%, G &lt;1%, P &lt;1%, S &lt;1%, I &lt;1%, L &lt;1%, M &lt;1%, V &lt;1%</t>
  </si>
  <si>
    <t>GLN:354:A</t>
  </si>
  <si>
    <t>M 94%, V  2%, I  2%, Q &lt;1%, T &lt;1%</t>
  </si>
  <si>
    <t>PRO:355:A</t>
  </si>
  <si>
    <t>P 99%, T &lt;1%</t>
  </si>
  <si>
    <t>GLU:356:A</t>
  </si>
  <si>
    <t>SER:357:A</t>
  </si>
  <si>
    <t>S 99%, P &lt;1%</t>
  </si>
  <si>
    <t>PRO:358:A</t>
  </si>
  <si>
    <t>ARG:359:A</t>
  </si>
  <si>
    <t>R 99%, I &lt;1%</t>
  </si>
  <si>
    <t>PHE:360:A</t>
  </si>
  <si>
    <t>F 95%, Y  3%, W &lt;1%, H &lt;1%</t>
  </si>
  <si>
    <t>PHE:361:A</t>
  </si>
  <si>
    <t>L 39%, Y 34%, F 25%</t>
  </si>
  <si>
    <t>LEU:362:A</t>
  </si>
  <si>
    <t>GLU:363:A</t>
  </si>
  <si>
    <t>E 96%, Q  2%, C &lt;1%</t>
  </si>
  <si>
    <t>ASN:364:A</t>
  </si>
  <si>
    <t>N 49%, V 21%, M 12%, I  6%, T  5%, A  1%, H  1%, R &lt;1%, L &lt;1%, S &lt;1%</t>
  </si>
  <si>
    <t>GLY:365:A</t>
  </si>
  <si>
    <t>G 86%, A 12%, S &lt;1%</t>
  </si>
  <si>
    <t>LYS:366:A</t>
  </si>
  <si>
    <t>K 94%, R  4%, E &lt;1%, W &lt;1%</t>
  </si>
  <si>
    <t>HIS:367:A</t>
  </si>
  <si>
    <t>H 99%, A &lt;1%</t>
  </si>
  <si>
    <t>ASP:368:A</t>
  </si>
  <si>
    <t>D 99%, E &lt;1%</t>
  </si>
  <si>
    <t>GLU:369:A</t>
  </si>
  <si>
    <t>E 98%, R &lt;1%, D &lt;1%, K &lt;1%</t>
  </si>
  <si>
    <t>ALA:370:A</t>
  </si>
  <si>
    <t>A 87%, G 12%, E &lt;1%</t>
  </si>
  <si>
    <t>TRP:371:A</t>
  </si>
  <si>
    <t>W 99%, C &lt;1%</t>
  </si>
  <si>
    <t>MET:372:A</t>
  </si>
  <si>
    <t>M 99%, G &lt;1%</t>
  </si>
  <si>
    <t>VAL:373:A</t>
  </si>
  <si>
    <t>I 75%, V 23%, P &lt;1%, A &lt;1%</t>
  </si>
  <si>
    <t>LEU:374:A</t>
  </si>
  <si>
    <t>L 98%, V &lt;1%, E &lt;1%</t>
  </si>
  <si>
    <t>LYS:375:A</t>
  </si>
  <si>
    <t>K 95%, R  3%, A &lt;1%, T &lt;1%</t>
  </si>
  <si>
    <t>GLN:376:A</t>
  </si>
  <si>
    <t>Q 77%, R  8%, H  6%, L  4%, N  1%, K  1%</t>
  </si>
  <si>
    <t>VAL:377:A</t>
  </si>
  <si>
    <t>V 59%, I 38%, M  1%, W &lt;1%</t>
  </si>
  <si>
    <t>HIS:378:A</t>
  </si>
  <si>
    <t>H 98%, Y &lt;1%, L &lt;1%, S &lt;1%</t>
  </si>
  <si>
    <t>ASP:379:A</t>
  </si>
  <si>
    <t>D 98%, E &lt;1%, T &lt;1%</t>
  </si>
  <si>
    <t>THR:380:A</t>
  </si>
  <si>
    <t>T 97%, I  1%, Q &lt;1%, V &lt;1%</t>
  </si>
  <si>
    <t>ASN:381:A</t>
  </si>
  <si>
    <t>N 98%, L &lt;1%, H &lt;1%</t>
  </si>
  <si>
    <t>MET:382:A</t>
  </si>
  <si>
    <t>M 83%, W 16%, P &lt;1%</t>
  </si>
  <si>
    <t>ARG:383:A</t>
  </si>
  <si>
    <t>R 94%, K  5%</t>
  </si>
  <si>
    <t>ALA:384:A</t>
  </si>
  <si>
    <t>A 98%, S &lt;1%, K &lt;1%</t>
  </si>
  <si>
    <t>LYS:385:A</t>
  </si>
  <si>
    <t>K 62%, R 37%</t>
  </si>
  <si>
    <t>GLY:386:A</t>
  </si>
  <si>
    <t>G 99%, K &lt;1%</t>
  </si>
  <si>
    <t>HIS:387:A</t>
  </si>
  <si>
    <t>E 30%, Q 30%, Y 19%, H 13%, T  2%, F  2%, A &lt;1%, L &lt;1%, S &lt;1%</t>
  </si>
  <si>
    <t>PRO:388:A</t>
  </si>
  <si>
    <t>P 98%, S  1%, W &lt;1%</t>
  </si>
  <si>
    <t>GLU:389:A</t>
  </si>
  <si>
    <t>E 99%, Q &lt;1%</t>
  </si>
  <si>
    <t>ARG:390:A</t>
  </si>
  <si>
    <t>K 50%, R 48%, A &lt;1%, I &lt;1%</t>
  </si>
  <si>
    <t>VAL:391:A</t>
  </si>
  <si>
    <t>V 99%, S &lt;1%</t>
  </si>
  <si>
    <t>PHE:392:A</t>
  </si>
  <si>
    <t>SER:393:A</t>
  </si>
  <si>
    <t>T 64%, S 34%, Q  1%</t>
  </si>
  <si>
    <t>VAL:394:A</t>
  </si>
  <si>
    <t>V 98%, S &lt;1%, A &lt;1%</t>
  </si>
  <si>
    <t>THR:395:A</t>
  </si>
  <si>
    <t>T 35%, N 32%, S 24%, A  3%, R &lt;1%, L &lt;1%, C &lt;1%, Q &lt;1%, V &lt;1%, H &lt;1%</t>
  </si>
  <si>
    <t>HIS:396:A</t>
  </si>
  <si>
    <t>R 31%, T 18%, H 17%, Q 14%, N  6%, S  2%, I  2%, K  2%, D  1%, Y  1%, A &lt;1%, V &lt;1%</t>
  </si>
  <si>
    <t>ILE:397:A</t>
  </si>
  <si>
    <t>I 93%, M  1%, T  1%, L  1%, S &lt;1%, C &lt;1%, E &lt;1%</t>
  </si>
  <si>
    <t>LYS:398:A</t>
  </si>
  <si>
    <t>K 91%, Q  2%, G  1%, D &lt;1%, S &lt;1%, H &lt;1%, F &lt;1%, R &lt;1%, Y &lt;1%, T &lt;1%</t>
  </si>
  <si>
    <t>THR:399:A</t>
  </si>
  <si>
    <t>T 63%, I 19%, A  5%, V  4%, L  2%, C  1%, G &lt;1%, K &lt;1%, M &lt;1%, S &lt;1%</t>
  </si>
  <si>
    <t>ILE:400:A</t>
  </si>
  <si>
    <t>P 63%, V 22%, I  6%, L  3%, H  1%, A  1%, T &lt;1%, F &lt;1%</t>
  </si>
  <si>
    <t>HIS:401:A</t>
  </si>
  <si>
    <t>K 82%, R  4%, Q  4%, I  1%, G  1%, V  1%, H &lt;1%, T &lt;1%, M &lt;1%, N &lt;1%, W &lt;1%, C &lt;1%</t>
  </si>
  <si>
    <t>GLN:402:A</t>
  </si>
  <si>
    <t>Q 76%, H  6%, P  5%, A  4%, R  3%, T  1%, E &lt;1%, W &lt;1%, Y &lt;1%</t>
  </si>
  <si>
    <t>GLU:403:A</t>
  </si>
  <si>
    <t>L 25%, E 18%, M 17%, I 17%, V  6%, D  4%, T  2%, K  1%, Q  1%, Y  1%, S &lt;1%, G &lt;1%, F &lt;1%</t>
  </si>
  <si>
    <t>ASP:404:A</t>
  </si>
  <si>
    <t>D 92%, H  1%, N  1%, R &lt;1%, E &lt;1%, Y &lt;1%, Q &lt;1%, T &lt;1%, I &lt;1%, G &lt;1%</t>
  </si>
  <si>
    <t>GLU:405:A</t>
  </si>
  <si>
    <t>E 88%, D  4%, G  1%, K &lt;1%, A &lt;1%, T &lt;1%, M &lt;1%, Y &lt;1%, L &lt;1%, F &lt;1%, V &lt;1%</t>
  </si>
  <si>
    <t>LEU:406:A</t>
  </si>
  <si>
    <t>L 58%, F 35%, I  2%, C  1%, A &lt;1%, H &lt;1%, M &lt;1%, V &lt;1%</t>
  </si>
  <si>
    <t>ILE:407:A</t>
  </si>
  <si>
    <t>I 46%, V 46%, T  2%, L  1%, F  1%, A &lt;1%, H &lt;1%, S &lt;1%</t>
  </si>
  <si>
    <t>GLU:408:A</t>
  </si>
  <si>
    <t>E 76%, D 11%, N  3%, T  1%, G  1%, P  1%, S  1%, Q &lt;1%, R &lt;1%, L &lt;1%, I &lt;1%</t>
  </si>
  <si>
    <t>ILE:409:A</t>
  </si>
  <si>
    <t>I 45%, M 36%, L  7%, T  4%, G  2%, K  1%, R &lt;1%, Y &lt;1%, A &lt;1%, V &lt;1%</t>
  </si>
  <si>
    <t>GLN:410:A</t>
  </si>
  <si>
    <t>Q 57%, E 15%, G 13%, D  2%, I  1%, S  1%, N  1%, K  1%, H  1%, A  1%, P &lt;1%, C &lt;1%, M &lt;1%</t>
  </si>
  <si>
    <t>SER:411:A</t>
  </si>
  <si>
    <t>S 57%, T 12%, G 11%, N  6%, A  4%, D  1%, I  1%, W &lt;1%, V &lt;1%, H &lt;1%, M &lt;1%, C &lt;1%, P &lt;1%, L &lt;1%</t>
  </si>
  <si>
    <t>ASP:412:A</t>
  </si>
  <si>
    <t>D 36%, E 28%, S 19%, A  8%, K  1%, H  1%, N &lt;1%, R &lt;1%, Q &lt;1%, G &lt;1%, V &lt;1%, L &lt;1%</t>
  </si>
  <si>
    <t>THR:413:A</t>
  </si>
  <si>
    <t>T 58%, S 24%, G  4%, A  4%, Q  1%, P  1%, L  1%, C &lt;1%, N &lt;1%, F &lt;1%, M &lt;1%, V &lt;1%</t>
  </si>
  <si>
    <t>GLY:414:A</t>
  </si>
  <si>
    <t>G 59%, A 21%, P  6%, S  2%, E  2%, V  2%, L  1%, T  1%, N  1%, R  1%, C &lt;1%, F &lt;1%</t>
  </si>
  <si>
    <t>THR:415:A</t>
  </si>
  <si>
    <t>T 42%, N 26%, A 13%, V  6%, I  3%, S  2%, C  1%, G &lt;1%, M &lt;1%, L &lt;1%, F &lt;1%, K &lt;1%, E &lt;1%</t>
  </si>
  <si>
    <t>TRP:416:A</t>
  </si>
  <si>
    <t>W 50%, P 23%, A 11%, S  4%, L  2%, F  2%, R  1%, Y  1%, T  1%, E &lt;1%, V &lt;1%</t>
  </si>
  <si>
    <t>TYR:417:A</t>
  </si>
  <si>
    <t>V 26%, Y 25%, H 18%, F 17%, A  4%, I  3%, L  1%, P &lt;1%, S &lt;1%, M &lt;1%, T &lt;1%</t>
  </si>
  <si>
    <t>GLN:418:A</t>
  </si>
  <si>
    <t>Q 41%, S 15%, R 14%, K  6%, L  6%, A  5%, E  4%, P &lt;1%, V &lt;1%, H &lt;1%, N &lt;1%, C &lt;1%, M &lt;1%, G &lt;1%</t>
  </si>
  <si>
    <t>ARG:419:A</t>
  </si>
  <si>
    <t>R 61%, K 31%, D  1%, L  1%, H &lt;1%, V &lt;1%, T &lt;1%, Q &lt;1%, W &lt;1%</t>
  </si>
  <si>
    <t>TRP:420:A</t>
  </si>
  <si>
    <t>W 51%, V 15%, C  8%, Y  6%, A  5%, F  4%, S  2%, L  2%, H &lt;1%, N &lt;1%, G &lt;1%, I &lt;1%, K &lt;1%</t>
  </si>
  <si>
    <t>GLY:421:A</t>
  </si>
  <si>
    <t>L 26%, F 21%, R 14%, A  7%, K  5%, T  4%, M  3%, C  2%, I  2%, G  2%, Y  2%, V  2%, P  1%, Q  1%, S  1%, H &lt;1%</t>
  </si>
  <si>
    <t>VAL:422:A</t>
  </si>
  <si>
    <t>V 44%, F 21%, L 10%, I  9%, M  6%, T  2%, A  2%, E &lt;1%, C &lt;1%, N &lt;1%, Y &lt;1%</t>
  </si>
  <si>
    <t>ARG:423:A</t>
  </si>
  <si>
    <t>R 67%, K 23%, V  1%, Q  1%, L &lt;1%, F &lt;1%, H &lt;1%, C &lt;1%, T &lt;1%, Y &lt;1%, G &lt;1%, S &lt;1%, N &lt;1%, I &lt;1%</t>
  </si>
  <si>
    <t>ALA:424:A</t>
  </si>
  <si>
    <t>I 34%, L 18%, V  7%, T  7%, F  6%, S  6%, M  6%, H  2%, A  2%, K  1%, P &lt;1%, C &lt;1%, R &lt;1%, Q &lt;1%, G &lt;1%, D &lt;1%, W &lt;1%, Y &lt;1%</t>
  </si>
  <si>
    <t>LEU:425:A</t>
  </si>
  <si>
    <t>K 23%, M 19%, L 17%, T 14%, R 11%, S  4%, V  3%, I  1%, F &lt;1%, W &lt;1%, H &lt;1%, Q &lt;1%, G &lt;1%, A &lt;1%</t>
  </si>
  <si>
    <t>SER:426:A</t>
  </si>
  <si>
    <t>T 46%, S 20%, A 12%, N 10%, C  1%, M  1%, V  1%, G  1%, R &lt;1%, Y &lt;1%, E &lt;1%, F &lt;1%, L &lt;1%</t>
  </si>
  <si>
    <t>LEU:427:A</t>
  </si>
  <si>
    <t>L 38%, E 33%, T  8%, V  6%, M  3%, I  2%, C  1%, S  1%, Q  1%, G &lt;1%, F &lt;1%, N &lt;1%, W &lt;1%</t>
  </si>
  <si>
    <t>GLY:428:A</t>
  </si>
  <si>
    <t>L 31%, F 18%, S 10%, I 10%, V  8%, C  6%, A  4%, T  3%, G  2%, M  2%, R &lt;1%, K &lt;1%, W &lt;1%</t>
  </si>
  <si>
    <t>GLY:429:A</t>
  </si>
  <si>
    <t>K 24%, H 17%, R 17%, Q 15%, Y  8%, G  3%, L  3%, N  1%, V  1%, P  1%, S  1%, E &lt;1%, D &lt;1%, T &lt;1%</t>
  </si>
  <si>
    <t>GLN:430:A</t>
  </si>
  <si>
    <t>Q 50%, G 31%, L  8%, P  2%, E  1%, T  1%, A  1%, Y &lt;1%, C &lt;1%, H &lt;1%, K &lt;1%, S &lt;1%</t>
  </si>
  <si>
    <t>VAL:431:A</t>
  </si>
  <si>
    <t>V 53%, I 38%, L  2%, M  2%, A  1%, F &lt;1%, R &lt;1%</t>
  </si>
  <si>
    <t>TRP:432:A</t>
  </si>
  <si>
    <t>W 50%, L 12%, R 10%, Y  8%, M  5%, C  2%, K  2%, T  2%, S  1%, I  1%, A &lt;1%, V &lt;1%, Q &lt;1%, F &lt;1%</t>
  </si>
  <si>
    <t>GLY:433:A</t>
  </si>
  <si>
    <t>L 25%, S 13%, K  9%, N  6%, D  6%, E  6%, R  6%, Q  5%, A  4%, V  4%, H  2%, I  2%, M  2%, G  1%, F  1%, T &lt;1%</t>
  </si>
  <si>
    <t>ASN:434:A</t>
  </si>
  <si>
    <t>N 66%, T 23%, H  2%, L  2%, S  1%, I  1%, Q  1%, E &lt;1%, P &lt;1%, R &lt;1%</t>
  </si>
  <si>
    <t>PHE:435:A</t>
  </si>
  <si>
    <t>F 46%, V 19%, L 14%, I  8%, M  3%, A  2%, T  1%, H &lt;1%, D &lt;1%, Y &lt;1%, S &lt;1%, Q &lt;1%</t>
  </si>
  <si>
    <t>LEU:436:A</t>
  </si>
  <si>
    <t>L 39%, M 24%, Q 10%, A  7%, V  5%, S  2%, I  2%, K  2%, F  1%, H &lt;1%, Y &lt;1%, P &lt;1%, R &lt;1%, C &lt;1%</t>
  </si>
  <si>
    <t>SER:437:A</t>
  </si>
  <si>
    <t>S 22%, K 20%, A 13%, R 12%, Y  9%, Q  7%, T  4%, L  2%, E  1%, I  1%, F  1%, D  1%, M &lt;1%, P &lt;1%</t>
  </si>
  <si>
    <t>CYS:438:A</t>
  </si>
  <si>
    <t>C 68%, L 18%, I  5%, V  3%, S  3%, T &lt;1%</t>
  </si>
  <si>
    <t>PHE:439:A</t>
  </si>
  <si>
    <t>F 70%, L 15%, V  4%, W  2%, A  2%, S  2%, Q &lt;1%, Y &lt;1%, P &lt;1%, M &lt;1%, R &lt;1%</t>
  </si>
  <si>
    <t>GLY:440:A</t>
  </si>
  <si>
    <t>S 31%, N 24%, A 11%, T 11%, G  4%, D  4%, M  3%, I  2%, E  2%, V  1%, H  1%, R &lt;1%, F &lt;1%, C &lt;1%, Q &lt;1%</t>
  </si>
  <si>
    <t>PRO:441:A</t>
  </si>
  <si>
    <t>P 37%, Y 30%, A 11%, G  8%, H  4%, S  1%, R  1%, V &lt;1%, L &lt;1%, N &lt;1%, C &lt;1%, F &lt;1%, T &lt;1%</t>
  </si>
  <si>
    <t>GLU:442:A</t>
  </si>
  <si>
    <t>P 38%, E 32%, Q 11%, D  7%, S  2%, K  1%, L  1%, R  1%, G &lt;1%, A &lt;1%, C &lt;1%, I &lt;1%, N &lt;1%</t>
  </si>
  <si>
    <t>TYR:443:A</t>
  </si>
  <si>
    <t>Y 34%, V 22%, L 20%, F  8%, M  8%, I  2%, C &lt;1%, T &lt;1%, A &lt;1%, R &lt;1%</t>
  </si>
  <si>
    <t>ARG:444:A</t>
  </si>
  <si>
    <t>R 65%, K 26%, Q  2%, H  1%, S  1%, F &lt;1%, I &lt;1%, G &lt;1%, C &lt;1%</t>
  </si>
  <si>
    <t>ARG:445:A</t>
  </si>
  <si>
    <t>R 33%, D 16%, E 16%, L 11%, M  9%, F  4%, H  1%, A  1%, K  1%, N &lt;1%, P &lt;1%, V &lt;1%, I &lt;1%</t>
  </si>
  <si>
    <t>ILE:446:A</t>
  </si>
  <si>
    <t>N 46%, T 25%, A  7%, S  5%, I  3%, V  3%, Q  2%, D  1%, C  1%, L  1%, H &lt;1%, G &lt;1%</t>
  </si>
  <si>
    <t>THR:447:A</t>
  </si>
  <si>
    <t>T 74%, M 10%, S  6%, G  2%, A  2%, V &lt;1%, I &lt;1%, F &lt;1%, D &lt;1%, E &lt;1%, H &lt;1%</t>
  </si>
  <si>
    <t>LEU:448:A</t>
  </si>
  <si>
    <t>L 41%, I 22%, F  9%, M  8%, V  6%, Y  6%, T  2%, S  1%, H &lt;1%</t>
  </si>
  <si>
    <t>MET:449:A</t>
  </si>
  <si>
    <t>M 28%, K 26%, F 18%, L  9%, R  9%, I  4%, V &lt;1%, C &lt;1%, Q &lt;1%, S &lt;1%</t>
  </si>
  <si>
    <t>MET:450:A</t>
  </si>
  <si>
    <t>L 60%, M 36%, I  1%, F &lt;1%, K &lt;1%, T &lt;1%</t>
  </si>
  <si>
    <t>MET:451:A</t>
  </si>
  <si>
    <t>A 53%, M 27%, T  7%, V  3%, S  2%, P  1%, L  1%, Y &lt;1%, I &lt;1%, Q &lt;1%, F &lt;1%</t>
  </si>
  <si>
    <t>GLY:452:A</t>
  </si>
  <si>
    <t>I 37%, A 31%, V 20%, T  2%, G  2%, S  2%, F  1%, M &lt;1%, Q &lt;1%</t>
  </si>
  <si>
    <t>VAL:453:A</t>
  </si>
  <si>
    <t>V 79%, I 15%, S  1%, E &lt;1%, G &lt;1%, N &lt;1%, L &lt;1%, T &lt;1%, R &lt;1%</t>
  </si>
  <si>
    <t>TRP:454:A</t>
  </si>
  <si>
    <t>W 96%, S  1%, V &lt;1%, T &lt;1%, L &lt;1%</t>
  </si>
  <si>
    <t>PHE:455:A</t>
  </si>
  <si>
    <t>F 88%, L  6%, A  1%, Y &lt;1%, S &lt;1%, C &lt;1%, P &lt;1%</t>
  </si>
  <si>
    <t>THR:456:A</t>
  </si>
  <si>
    <t>T 67%, S 19%, C  9%, A  1%, V  1%, K &lt;1%, L &lt;1%</t>
  </si>
  <si>
    <t>MET:457:A</t>
  </si>
  <si>
    <t>M 50%, L 42%, I  3%, C  1%, F &lt;1%, S &lt;1%, V &lt;1%, K &lt;1%</t>
  </si>
  <si>
    <t>SER:458:A</t>
  </si>
  <si>
    <t>S 68%, A 26%, P  2%, N &lt;1%, C &lt;1%, G &lt;1%, D &lt;1%, I &lt;1%</t>
  </si>
  <si>
    <t>PHE:459:A</t>
  </si>
  <si>
    <t>F 83%, L 10%, C  2%, S &lt;1%, R &lt;1%, Q &lt;1%, I &lt;1%, Y &lt;1%</t>
  </si>
  <si>
    <t>SER:460:A</t>
  </si>
  <si>
    <t>S 61%, G 34%, R  2%, F &lt;1%, D &lt;1%, L &lt;1%</t>
  </si>
  <si>
    <t>TYR:461:A</t>
  </si>
  <si>
    <t>Y 96%, F  4%</t>
  </si>
  <si>
    <t>TYR:462:A</t>
  </si>
  <si>
    <t>Y 96%, H  3%, F &lt;1%</t>
  </si>
  <si>
    <t>GLY:463:A</t>
  </si>
  <si>
    <t>LEU:464:A</t>
  </si>
  <si>
    <t>THR:465:A</t>
  </si>
  <si>
    <t>S 49%, T 41%, I  4%, G  3%, A  1%, V &lt;1%</t>
  </si>
  <si>
    <t>VAL:466:A</t>
  </si>
  <si>
    <t>V 98%, I  2%</t>
  </si>
  <si>
    <t>TRP:467:A</t>
  </si>
  <si>
    <t>PHE:468:A</t>
  </si>
  <si>
    <t>PRO:469:A</t>
  </si>
  <si>
    <t>ASP:470:A</t>
  </si>
  <si>
    <t>D 97%, E  2%, K &lt;1%</t>
  </si>
  <si>
    <t>MET:471:A</t>
  </si>
  <si>
    <t>M 62%, V 35%, T  2%, I &lt;1%</t>
  </si>
  <si>
    <t>ILE:472:A</t>
  </si>
  <si>
    <t>ARG:473:A</t>
  </si>
  <si>
    <t>K 82%, R 13%, H  2%, N &lt;1%, Q &lt;1%</t>
  </si>
  <si>
    <t>HIS:474:A</t>
  </si>
  <si>
    <t>H 52%, Y 43%, Q  3%, N &lt;1%, V &lt;1%</t>
  </si>
  <si>
    <t>LEU:475:A</t>
  </si>
  <si>
    <t>L 80%, I  8%, M  4%, F  3%, Y  2%</t>
  </si>
  <si>
    <t>GLN:476:A</t>
  </si>
  <si>
    <t>Q 99%, E &lt;1%</t>
  </si>
  <si>
    <t>ALA:477:A</t>
  </si>
  <si>
    <t>A 26%, K 24%, Y 10%, N 10%, S  9%, D  6%, E  5%, M  2%, H  2%, R  1%, L &lt;1%, Q &lt;1%, F &lt;1%</t>
  </si>
  <si>
    <t>VAL:478:A</t>
  </si>
  <si>
    <t>D 32%, E 31%, Q 25%, I  3%, K  2%, M  2%, L  1%, V &lt;1%, R &lt;1%</t>
  </si>
  <si>
    <t>ASP:479:A</t>
  </si>
  <si>
    <t>E 75%, D 15%, A  7%, N  1%, G &lt;1%</t>
  </si>
  <si>
    <t>TYR:480:A</t>
  </si>
  <si>
    <t>Y 96%, N  2%, V &lt;1%, D &lt;1%</t>
  </si>
  <si>
    <t>ALA:481:A</t>
  </si>
  <si>
    <t>A 50%, E 20%, S 11%, K  7%, V  4%, D  3%, R  1%, H  1%, Q &lt;1%</t>
  </si>
  <si>
    <t>SER:482:A</t>
  </si>
  <si>
    <t>S 85%, L  6%, A  4%, T &lt;1%, N &lt;1%, D &lt;1%, H &lt;1%, K &lt;1%</t>
  </si>
  <si>
    <t>ARG:483:A</t>
  </si>
  <si>
    <t>R 51%, K 42%, L  2%, P  1%, H  1%, V &lt;1%, E &lt;1%</t>
  </si>
  <si>
    <t>THR:484:A</t>
  </si>
  <si>
    <t>V 47%, T 35%, L  4%, M  4%, A  2%, I  2%, R  1%, E  1%, D &lt;1%, N &lt;1%</t>
  </si>
  <si>
    <t>LYS:485:A</t>
  </si>
  <si>
    <t>K 89%, R  4%, Q  3%, V  1%, L &lt;1%, M &lt;1%, C &lt;1%</t>
  </si>
  <si>
    <t>VAL:486:A</t>
  </si>
  <si>
    <t>V 32%, I 26%, T 18%, L 10%, F  2%, R  2%, D  2%, N  1%, S  1%, Y &lt;1%, E &lt;1%, H &lt;1%, Q &lt;1%, W &lt;1%, K &lt;1%</t>
  </si>
  <si>
    <t>PHE:487:A</t>
  </si>
  <si>
    <t>F 66%, H 26%, V  2%, I  1%, D &lt;1%, E &lt;1%, Y &lt;1%, L &lt;1%</t>
  </si>
  <si>
    <t>PRO:488:A</t>
  </si>
  <si>
    <t>N 22%, H 19%, T 17%, I  7%, V  6%, S  6%, P  3%, Y  3%, A  2%, E  2%, L  2%, D  2%, M  1%, Q  1%, K  1%, F  1%</t>
  </si>
  <si>
    <t>GLY:489:A</t>
  </si>
  <si>
    <t>K 31%, N 25%, R 18%, G 10%, S  4%, Q  3%, D  2%, H  2%, E  1%, I &lt;1%</t>
  </si>
  <si>
    <t>GLU:490:A</t>
  </si>
  <si>
    <t>E 92%, D  3%, V  1%, Q  1%, G &lt;1%, K &lt;1%, L &lt;1%</t>
  </si>
  <si>
    <t>ARG:491:A</t>
  </si>
  <si>
    <t>R 54%, K 22%, H  8%, Q  4%, S  4%, N  2%, E  1%, T  1%, I &lt;1%, L &lt;1%, C &lt;1%</t>
  </si>
  <si>
    <t>VAL:492:A</t>
  </si>
  <si>
    <t>V 60%, I 24%, T  5%, L  4%, Y  2%, M  2%, F  1%</t>
  </si>
  <si>
    <t>GLU:493:A</t>
  </si>
  <si>
    <t>E 67%, R  5%, S  4%, K  4%, A  4%, D  2%, T  2%, H  2%, V  2%, Q  1%, Y  1%, N &lt;1%, M &lt;1%, L &lt;1%, F &lt;1%</t>
  </si>
  <si>
    <t>HIS:494:A</t>
  </si>
  <si>
    <t>H 43%, D 29%, N 14%, G  4%, R  4%, S  1%, E &lt;1%, Q &lt;1%</t>
  </si>
  <si>
    <t>VAL:495:A</t>
  </si>
  <si>
    <t>F 62%, V 23%, I  6%, A  2%, L  1%, M  1%, Q &lt;1%, S &lt;1%, T &lt;1%, Y &lt;1%</t>
  </si>
  <si>
    <t>THR:496:A</t>
  </si>
  <si>
    <t>T 78%, H 12%, S  3%, N  2%, I  1%, D &lt;1%, E &lt;1%, M &lt;1%</t>
  </si>
  <si>
    <t>PHE:497:A</t>
  </si>
  <si>
    <t>F 92%, I  5%, V  1%, T &lt;1%, L &lt;1%</t>
  </si>
  <si>
    <t>ASN:498:A</t>
  </si>
  <si>
    <t>N 98%, D  1%, V &lt;1%</t>
  </si>
  <si>
    <t>PHE:499:A</t>
  </si>
  <si>
    <t>F 98%, Y &lt;1%, C &lt;1%</t>
  </si>
  <si>
    <t>THR:500:A</t>
  </si>
  <si>
    <t>T 82%, S 15%, N &lt;1%, P &lt;1%, Q &lt;1%</t>
  </si>
  <si>
    <t>LEU:501:A</t>
  </si>
  <si>
    <t>L 92%, M  6%, T &lt;1%, V &lt;1%</t>
  </si>
  <si>
    <t>GLU:502:A</t>
  </si>
  <si>
    <t>E 90%, V  4%, A  2%, Q &lt;1%, T &lt;1%, D &lt;1%, R &lt;1%</t>
  </si>
  <si>
    <t>ASN:503:A</t>
  </si>
  <si>
    <t>N 99%, K &lt;1%</t>
  </si>
  <si>
    <t>GLN:504:A</t>
  </si>
  <si>
    <t>Q 98%, K &lt;1%, R &lt;1%</t>
  </si>
  <si>
    <t>ILE:505:A</t>
  </si>
  <si>
    <t>I 64%, V 32%, L  2%, Q &lt;1%</t>
  </si>
  <si>
    <t>HIS:506:A</t>
  </si>
  <si>
    <t>H 96%, V &lt;1%, I &lt;1%, Q &lt;1%, Y &lt;1%, D &lt;1%</t>
  </si>
  <si>
    <t>ARG:507:A</t>
  </si>
  <si>
    <t>R 42%, K 26%, T 14%, Q  4%, L  3%, I  2%, E  2%, N  2%, S  1%, Y &lt;1%, V &lt;1%, D &lt;1%</t>
  </si>
  <si>
    <t>GLY:508:A</t>
  </si>
  <si>
    <t>N 47%, E 19%, Q 11%, G  6%, D  6%, H  3%, K  2%, A  1%, R  1%, S &lt;1%, Y &lt;1%</t>
  </si>
  <si>
    <t>GLY:509:A</t>
  </si>
  <si>
    <t>G 90%, M  3%, S  2%, A  1%, L &lt;1%, W &lt;1%, I &lt;1%, C &lt;1%, V &lt;1%</t>
  </si>
  <si>
    <t>GLN:510:A</t>
  </si>
  <si>
    <t>E 40%, V 14%, L 11%, Q  6%, K  6%, H  5%, T  5%, Y  3%, R  2%, D  2%, A &lt;1%, M &lt;1%, N &lt;1%, I &lt;1%</t>
  </si>
  <si>
    <t>TYR:511:A</t>
  </si>
  <si>
    <t>Y 57%, F 38%, L  2%, C  1%, W &lt;1%</t>
  </si>
  <si>
    <t>PHE:512:A</t>
  </si>
  <si>
    <t>I 36%, F 34%, V 10%, L  5%, D  4%, Y  2%, Q  1%, E  1%, K  1%, H &lt;1%, R &lt;1%, N &lt;1%</t>
  </si>
  <si>
    <t>ASN:513:A</t>
  </si>
  <si>
    <t>N 84%, H  6%, S  3%, Y  1%, R  1%, K &lt;1%, I &lt;1%, Q &lt;1%, F &lt;1%</t>
  </si>
  <si>
    <t>ASP:514:A</t>
  </si>
  <si>
    <t>D 86%, G  4%, N  4%, V  1%, I &lt;1%, A &lt;1%, Y &lt;1%, T &lt;1%, C &lt;1%</t>
  </si>
  <si>
    <t>LYS:515:A</t>
  </si>
  <si>
    <t>K 59%, R 34%, H  2%, S  1%, Q &lt;1%, M &lt;1%, E &lt;1%, N &lt;1%</t>
  </si>
  <si>
    <t>PHE:516:A</t>
  </si>
  <si>
    <t>F 97%, D  1%, L &lt;1%</t>
  </si>
  <si>
    <t>ILE:517:A</t>
  </si>
  <si>
    <t>I 46%, M 15%, L 12%, T  7%, V  6%, A  4%, Y  2%, N &lt;1%, E &lt;1%, S &lt;1%, F &lt;1%, H &lt;1%, Q &lt;1%, R &lt;1%</t>
  </si>
  <si>
    <t>GLY:518:A</t>
  </si>
  <si>
    <t>N 45%, G 22%, S 14%, K  9%, A  2%, M  2%, H  2%, Q &lt;1%, D &lt;1%, T &lt;1%, E &lt;1%</t>
  </si>
  <si>
    <t>LEU:519:A</t>
  </si>
  <si>
    <t>M 48%, L 27%, I 21%, V  2%, S &lt;1%, H &lt;1%</t>
  </si>
  <si>
    <t>ARG:520:A</t>
  </si>
  <si>
    <t>K 74%, E 14%, R  4%, Y  2%, Q  1%, V &lt;1%, D &lt;1%, H &lt;1%, N &lt;1%, C &lt;1%</t>
  </si>
  <si>
    <t>LEU:521:A</t>
  </si>
  <si>
    <t>M 40%, F 30%, L 22%, I  6%, G &lt;1%</t>
  </si>
  <si>
    <t>LYS:522:A</t>
  </si>
  <si>
    <t>K 89%, R  7%, N  2%, D &lt;1%, S &lt;1%</t>
  </si>
  <si>
    <t>SER:523:A</t>
  </si>
  <si>
    <t>S 79%, A  6%, D  3%, Y  2%, H  2%, T  2%, E  1%, N &lt;1%, F &lt;1%, K &lt;1%</t>
  </si>
  <si>
    <t>VAL:524:A</t>
  </si>
  <si>
    <t>V 71%, M 24%, I  3%, F &lt;1%, Y &lt;1%</t>
  </si>
  <si>
    <t>SER:525:A</t>
  </si>
  <si>
    <t>T 44%, V 23%, K 13%, I  8%, L  3%, S  1%, R  1%, A  1%, Y  1%, G &lt;1%, D &lt;1%</t>
  </si>
  <si>
    <t>PHE:526:A</t>
  </si>
  <si>
    <t>F 98%, G &lt;1%, Y &lt;1%</t>
  </si>
  <si>
    <t>GLU:527:A</t>
  </si>
  <si>
    <t>E 63%, I 20%, K  6%, V  5%, Q  1%, R &lt;1%, N &lt;1%, D &lt;1%, M &lt;1%</t>
  </si>
  <si>
    <t>ASP:528:A</t>
  </si>
  <si>
    <t>D 89%, N  6%, S  2%, E &lt;1%, I &lt;1%</t>
  </si>
  <si>
    <t>SER:529:A</t>
  </si>
  <si>
    <t>S 91%, T  4%, F  1%, Q &lt;1%, M &lt;1%, P &lt;1%, I &lt;1%</t>
  </si>
  <si>
    <t>LEU:530:A</t>
  </si>
  <si>
    <t>L 46%, T 22%, V 18%, S  4%, M  2%, A  1%, I  1%, F  1%, Y &lt;1%, E &lt;1%</t>
  </si>
  <si>
    <t>PHE:531:A</t>
  </si>
  <si>
    <t>F 99%, G &lt;1%</t>
  </si>
  <si>
    <t>GLU:532:A</t>
  </si>
  <si>
    <t>E 57%, R 12%, Q  8%, K  7%, D  4%, L  2%, I  2%, H  2%, V  1%, T &lt;1%, N &lt;1%, A &lt;1%</t>
  </si>
  <si>
    <t>GLU:533:A</t>
  </si>
  <si>
    <t>E 38%, N 30%, D 16%, S 11%, Q &lt;1%, T &lt;1%, K &lt;1%, M &lt;1%, V &lt;1%, A &lt;1%</t>
  </si>
  <si>
    <t>CYS:534:A</t>
  </si>
  <si>
    <t>C 97%, G &lt;1%, L &lt;1%, Y &lt;1%</t>
  </si>
  <si>
    <t>TYR:535:A</t>
  </si>
  <si>
    <t>Y 78%, T  6%, F  3%, R  3%, L  2%, D  2%, H  2%, I  1%, V &lt;1%</t>
  </si>
  <si>
    <t>PHE:536:A</t>
  </si>
  <si>
    <t>F 99%, P &lt;1%</t>
  </si>
  <si>
    <t>GLU:537:A</t>
  </si>
  <si>
    <t>E 80%, D 17%, N &lt;1%, V &lt;1%, T &lt;1%</t>
  </si>
  <si>
    <t>ASP:538:A</t>
  </si>
  <si>
    <t>D 91%, N  4%, E  1%, G &lt;1%, Y &lt;1%, A &lt;1%, H &lt;1%</t>
  </si>
  <si>
    <t>VAL:539:A</t>
  </si>
  <si>
    <t>I 51%, V 47%, G &lt;1%, L &lt;1%</t>
  </si>
  <si>
    <t>THR:540:A</t>
  </si>
  <si>
    <t>T 69%, S 11%, R 10%, K  6%, V &lt;1%, I &lt;1%, L &lt;1%, E &lt;1%</t>
  </si>
  <si>
    <t>SER:541:A</t>
  </si>
  <si>
    <t>-0.744, -0.587  9,8</t>
  </si>
  <si>
    <t>S 93%, T  4%, P &lt;1%, N &lt;1%, G &lt;1%</t>
  </si>
  <si>
    <t>SER:542:A</t>
  </si>
  <si>
    <t xml:space="preserve"> 0.228,  0.583  5,4</t>
  </si>
  <si>
    <t>S 28%, T 28%, V 26%, L  5%, I  4%, M  1%, A  1%, W &lt;1%, P &lt;1%, G &lt;1%, K &lt;1%, R &lt;1%</t>
  </si>
  <si>
    <t>ASN:543:A</t>
  </si>
  <si>
    <t>N 39%, G 26%, E  9%, D  9%, H  6%, S  5%, Q  2%, P &lt;1%, R &lt;1%</t>
  </si>
  <si>
    <t>THR:544:A</t>
  </si>
  <si>
    <t>T 73%, S 25%, F &lt;1%, C &lt;1%</t>
  </si>
  <si>
    <t>PHE:545:A</t>
  </si>
  <si>
    <t>F 59%, Y 19%, V  8%, L  5%, I  4%, S  2%, H &lt;1%, T &lt;1%</t>
  </si>
  <si>
    <t>PHE:546:A</t>
  </si>
  <si>
    <t>F 99%, H &lt;1%</t>
  </si>
  <si>
    <t>ARG:547:A</t>
  </si>
  <si>
    <t>K 49%, R 28%, E 18%, H  1%, V &lt;1%, S &lt;1%, N &lt;1%</t>
  </si>
  <si>
    <t>ASN:548:A</t>
  </si>
  <si>
    <t>N 96%, K  2%, L &lt;1%, S &lt;1%</t>
  </si>
  <si>
    <t>CYS:549:A</t>
  </si>
  <si>
    <t>-0.894, -0.710  9,8</t>
  </si>
  <si>
    <t>C 99%, K &lt;1%</t>
  </si>
  <si>
    <t>THR:550:A</t>
  </si>
  <si>
    <t>T 94%, S  2%, I  1%, M &lt;1%, N &lt;1%</t>
  </si>
  <si>
    <t>PHE:551:A</t>
  </si>
  <si>
    <t>F 66%, I 30%, L  2%, R &lt;1%</t>
  </si>
  <si>
    <t>ILE:552:A</t>
  </si>
  <si>
    <t>I 56%, V 13%, R  8%, K  7%, L  3%, T  3%, E  2%, N  1%, F  1%, Q &lt;1%, H &lt;1%</t>
  </si>
  <si>
    <t>ASN:553:A</t>
  </si>
  <si>
    <t>S 36%, D 18%, A 16%, E 11%, N 10%, R  2%, G  2%, T &lt;1%, K &lt;1%, V &lt;1%, L &lt;1%, H &lt;1%</t>
  </si>
  <si>
    <t>THR:554:A</t>
  </si>
  <si>
    <t>T 64%, S 17%, A 12%, G  2%, V  2%, I &lt;1%</t>
  </si>
  <si>
    <t>VAL:555:A</t>
  </si>
  <si>
    <t>L 31%, V 25%, F 21%, I  6%, T  4%, Y  2%, M  2%, N  1%, S  1%, Q  1%, H &lt;1%, K &lt;1%, D &lt;1%</t>
  </si>
  <si>
    <t>PHE:556:A</t>
  </si>
  <si>
    <t>F 97%, L  1%, T &lt;1%</t>
  </si>
  <si>
    <t>TYR:557:A</t>
  </si>
  <si>
    <t>Y 79%, F 10%, D  3%, N  2%, S  1%, H  1%, I &lt;1%, L &lt;1%, V &lt;1%, R &lt;1%</t>
  </si>
  <si>
    <t>ASN:558:A</t>
  </si>
  <si>
    <t>-0.631, -0.427  8,7</t>
  </si>
  <si>
    <t>N 93%, D  3%, P &lt;1%, K &lt;1%, Y &lt;1%, H &lt;1%, S &lt;1%</t>
  </si>
  <si>
    <t>THR:559:A</t>
  </si>
  <si>
    <t>T 96%, S  2%, P &lt;1%, A &lt;1%</t>
  </si>
  <si>
    <t>ASP:560:A</t>
  </si>
  <si>
    <t>D 95%, G  3%, A &lt;1%, N &lt;1%</t>
  </si>
  <si>
    <t>LEU:561:A</t>
  </si>
  <si>
    <t>L 58%, I 27%, F 12%, A  1%, M &lt;1%, R &lt;1%</t>
  </si>
  <si>
    <t>PHE:562:A</t>
  </si>
  <si>
    <t>F 33%, D 24%, Y 14%, W 10%, E 10%, R  1%, G  1%, V &lt;1%, N &lt;1%, K &lt;1%, H &lt;1%, S &lt;1%, M &lt;1%</t>
  </si>
  <si>
    <t>GLU:563:A</t>
  </si>
  <si>
    <t>E 27%, K 27%, D 23%, Q  8%, P  5%, H  2%, T  1%, M  1%, L &lt;1%, S &lt;1%, A &lt;1%, R &lt;1%, I &lt;1%</t>
  </si>
  <si>
    <t>TYR:564:A</t>
  </si>
  <si>
    <t>Y 36%, S 21%, E 14%, H  9%, F  5%, T  4%, D  3%, A  2%, N  1%, M &lt;1%, L &lt;1%, K &lt;1%</t>
  </si>
  <si>
    <t>LYS:565:A</t>
  </si>
  <si>
    <t>K 68%, R 28%, M &lt;1%, L &lt;1%, I &lt;1%, N &lt;1%, V &lt;1%</t>
  </si>
  <si>
    <t>PHE:566:A</t>
  </si>
  <si>
    <t>F 59%, L 37%, M  1%, I &lt;1%, Y &lt;1%, G &lt;1%</t>
  </si>
  <si>
    <t>VAL:567:A</t>
  </si>
  <si>
    <t>I 66%, V 18%, T  4%, L  2%, K  2%, F  1%, P  1%, N &lt;1%, A &lt;1%, E &lt;1%</t>
  </si>
  <si>
    <t>ASN:568:A</t>
  </si>
  <si>
    <t>N 42%, D 28%, G 21%, E  2%, K  1%, S  1%, H  1%, F &lt;1%, M &lt;1%</t>
  </si>
  <si>
    <t>SER:569:A</t>
  </si>
  <si>
    <t>C 43%, S 39%, T 15%, L  1%</t>
  </si>
  <si>
    <t>ARG:570:A</t>
  </si>
  <si>
    <t>R 33%, K 33%, E 14%, Q  6%, S  4%, T  2%, N  1%, V &lt;1%, A &lt;1%, M &lt;1%, L &lt;1%, D &lt;1%, H &lt;1%</t>
  </si>
  <si>
    <t>LEU:571:A</t>
  </si>
  <si>
    <t>L 33%, V 29%, F 20%, M 12%, I  2%, C &lt;1%, H &lt;1%, A &lt;1%</t>
  </si>
  <si>
    <t>ILE:572:A</t>
  </si>
  <si>
    <t>I 50%, V 18%, E 16%, Q  4%, L  2%, T  2%, F  1%, D  1%, H &lt;1%, K &lt;1%, S &lt;1%, P &lt;1%, R &lt;1%</t>
  </si>
  <si>
    <t>ASN:573:A</t>
  </si>
  <si>
    <t>N 97%, A &lt;1%, T &lt;1%, Y &lt;1%, D &lt;1%</t>
  </si>
  <si>
    <t>SER:574:A</t>
  </si>
  <si>
    <t>S 71%, T 14%, C  6%, V  3%, A  3%, I &lt;1%</t>
  </si>
  <si>
    <t>THR:575:A</t>
  </si>
  <si>
    <t>T 77%, S 18%, N  2%, V  1%, E &lt;1%, P &lt;1%</t>
  </si>
  <si>
    <t>PHE:576:A</t>
  </si>
  <si>
    <t>F 96%, V &lt;1%, N &lt;1%, Y &lt;1%, A &lt;1%, L &lt;1%</t>
  </si>
  <si>
    <t>LEU:577:A</t>
  </si>
  <si>
    <t>L 51%, H 14%, T  9%, E  6%, A  3%, Y  2%, I  2%, F  2%, N  2%, V  2%, M  1%, K  1%, S  1%</t>
  </si>
  <si>
    <t>HIS:578:A</t>
  </si>
  <si>
    <t>H 83%, E  6%, N  2%, Q  2%, K  1%, R  1%, L  1%, Y &lt;1%, A &lt;1%, G &lt;1%, D &lt;1%</t>
  </si>
  <si>
    <t>ASN:579:A</t>
  </si>
  <si>
    <t>N 73%, P  8%, Q  6%, S  4%, E  2%, I &lt;1%, V &lt;1%, M &lt;1%, T &lt;1%, K &lt;1%, G &lt;1%, F &lt;1%</t>
  </si>
  <si>
    <t>LYS:580:A</t>
  </si>
  <si>
    <t>K 97%, R  1%, A &lt;1%, L &lt;1%</t>
  </si>
  <si>
    <t>GLU:581:A</t>
  </si>
  <si>
    <t>E 41%, T 33%, K 13%, I  2%, H  2%, R  2%, Y  1%, M &lt;1%, A &lt;1%, V &lt;1%, S &lt;1%, Q &lt;1%</t>
  </si>
  <si>
    <t>GLY:582:A</t>
  </si>
  <si>
    <t>G 97%, R &lt;1%, A &lt;1%, S &lt;1%</t>
  </si>
  <si>
    <t>CYS:583:A</t>
  </si>
  <si>
    <t>C 99%, S &lt;1%</t>
  </si>
  <si>
    <t>PRO:584:A</t>
  </si>
  <si>
    <t>Q 42%, H 28%, M 12%, L  9%, I  3%, Y  2%, P  1%, T &lt;1%</t>
  </si>
  <si>
    <t>LEU:585:A</t>
  </si>
  <si>
    <t>L 54%, M 27%, I 14%, V  2%, F &lt;1%</t>
  </si>
  <si>
    <t>ASP:586:A</t>
  </si>
  <si>
    <t>D 55%, T 33%, N  7%, S  2%, G &lt;1%, P &lt;1%, E &lt;1%</t>
  </si>
  <si>
    <t>VAL:587:A</t>
  </si>
  <si>
    <t>F 80%, V  6%, I  4%, T  3%, Y  2%, S  1%, A  1%, N &lt;1%, L &lt;1%</t>
  </si>
  <si>
    <t>THR:588:A</t>
  </si>
  <si>
    <t>S 33%, D 33%, E 17%, Q  5%, V  2%, T  2%, A  1%, H  1%, G &lt;1%, N &lt;1%, R &lt;1%, M &lt;1%, L &lt;1%</t>
  </si>
  <si>
    <t>GLY:589:A</t>
  </si>
  <si>
    <t>D 66%, E 21%, Q  4%, R  2%, N  2%, G &lt;1%, S &lt;1%, A &lt;1%, H &lt;1%, K &lt;1%</t>
  </si>
  <si>
    <t>THR:590:A</t>
  </si>
  <si>
    <t>D 66%, E 31%, T &lt;1%, Q &lt;1%</t>
  </si>
  <si>
    <t>GLY:591:A</t>
  </si>
  <si>
    <t xml:space="preserve"> 0.387,  3.191  4,1</t>
  </si>
  <si>
    <t xml:space="preserve">  13/150</t>
  </si>
  <si>
    <t>F 69%, A 15%, G  7%, I  7%</t>
  </si>
  <si>
    <t>GLU:592:A</t>
  </si>
  <si>
    <t>-0.672, -0.291  8,6</t>
  </si>
  <si>
    <t>Y 52%, N 43%, E  2%, F &lt;1%</t>
  </si>
  <si>
    <t>GLY:593:A</t>
  </si>
  <si>
    <t>N 57%, S 38%, G  2%, T  1%, D &lt;1%</t>
  </si>
  <si>
    <t>ALA:594:A</t>
  </si>
  <si>
    <t>A 71%, D 27%, G &lt;1%</t>
  </si>
  <si>
    <t>TYR:595:A</t>
  </si>
  <si>
    <t>Y 68%, F 13%, V  9%, I  7%, D &lt;1%</t>
  </si>
  <si>
    <t>MET:596:A</t>
  </si>
  <si>
    <t>W 37%, M 31%, L 25%, V  4%, C &lt;1%</t>
  </si>
  <si>
    <t>VAL:597:A</t>
  </si>
  <si>
    <t>I 56%, V 41%, T  1%, A &lt;1%</t>
  </si>
  <si>
    <t>TYR:598:A</t>
  </si>
  <si>
    <t>PHE:599:A</t>
  </si>
  <si>
    <t>F 69%, L 28%, M  1%, V &lt;1%</t>
  </si>
  <si>
    <t>VAL:600:A</t>
  </si>
  <si>
    <t>V 86%, I 12%, L &lt;1%</t>
  </si>
  <si>
    <t>SER:601:A</t>
  </si>
  <si>
    <t>S 58%, N 39%, T  2%, G &lt;1%</t>
  </si>
  <si>
    <t>PHE:602:A</t>
  </si>
  <si>
    <t>LEU:603:A</t>
  </si>
  <si>
    <t>GLY:604:A</t>
  </si>
  <si>
    <t>G 99%, F &lt;1%</t>
  </si>
  <si>
    <t>THR:605:A</t>
  </si>
  <si>
    <t>T 68%, S 30%, C &lt;1%, I &lt;1%</t>
  </si>
  <si>
    <t>LEU:606:A</t>
  </si>
  <si>
    <t>ALA:607:A</t>
  </si>
  <si>
    <t>A 87%, S 11%, L &lt;1%</t>
  </si>
  <si>
    <t>VAL:608:A</t>
  </si>
  <si>
    <t>V 98%, T  1%</t>
  </si>
  <si>
    <t>LEU:609:A</t>
  </si>
  <si>
    <t>PRO:610:A</t>
  </si>
  <si>
    <t>P 99%, E &lt;1%</t>
  </si>
  <si>
    <t>GLY:611:A</t>
  </si>
  <si>
    <t>ASN:612:A</t>
  </si>
  <si>
    <t>N</t>
  </si>
  <si>
    <t>ILE:613:A</t>
  </si>
  <si>
    <t>I 99%, M &lt;1%</t>
  </si>
  <si>
    <t>VAL:614:A</t>
  </si>
  <si>
    <t>V 72%, I 25%, T &lt;1%, L &lt;1%, M &lt;1%</t>
  </si>
  <si>
    <t>SER:615:A</t>
  </si>
  <si>
    <t>S 99%, D &lt;1%</t>
  </si>
  <si>
    <t>ALA:616:A</t>
  </si>
  <si>
    <t>A 99%, F &lt;1%</t>
  </si>
  <si>
    <t>LEU:617:A</t>
  </si>
  <si>
    <t>L 99%, E &lt;1%</t>
  </si>
  <si>
    <t>LEU:618:A</t>
  </si>
  <si>
    <t>L 79%, F 18%, M &lt;1%, Y &lt;1%</t>
  </si>
  <si>
    <t>MET:619:A</t>
  </si>
  <si>
    <t>M 98%, V  1%</t>
  </si>
  <si>
    <t>ASP:620:A</t>
  </si>
  <si>
    <t>D 93%, E  6%, W &lt;1%</t>
  </si>
  <si>
    <t>LYS:621:A</t>
  </si>
  <si>
    <t>K 88%, R 10%, H &lt;1%, D &lt;1%</t>
  </si>
  <si>
    <t>ILE:622:A</t>
  </si>
  <si>
    <t>I 87%, V  8%, L  1%, T  1%, F &lt;1%, M &lt;1%</t>
  </si>
  <si>
    <t>GLY:623:A</t>
  </si>
  <si>
    <t>ARG:624:A</t>
  </si>
  <si>
    <t>LEU:625:A</t>
  </si>
  <si>
    <t>L 73%, I 19%, V  6%, S &lt;1%</t>
  </si>
  <si>
    <t>ARG:626:A</t>
  </si>
  <si>
    <t>R 35%, S 25%, K 23%, T 10%, N  2%, M &lt;1%, Q &lt;1%, H &lt;1%, V &lt;1%</t>
  </si>
  <si>
    <t>MET:627:A</t>
  </si>
  <si>
    <t>M 87%, I 10%, L &lt;1%, V &lt;1%</t>
  </si>
  <si>
    <t>LEU:628:A</t>
  </si>
  <si>
    <t>L 69%, I 29%, T &lt;1%, M &lt;1%</t>
  </si>
  <si>
    <t>ALA:629:A</t>
  </si>
  <si>
    <t>G 67%, A 32%</t>
  </si>
  <si>
    <t>GLY:630:A</t>
  </si>
  <si>
    <t>G 95%, F  2%, K &lt;1%, P &lt;1%, N &lt;1%, L &lt;1%</t>
  </si>
  <si>
    <t>SER:631:A</t>
  </si>
  <si>
    <t>S 98%, M &lt;1%, Q &lt;1%</t>
  </si>
  <si>
    <t>SER:632:A</t>
  </si>
  <si>
    <t>M 68%, S 29%, P  1%</t>
  </si>
  <si>
    <t>VAL:633:A</t>
  </si>
  <si>
    <t>V 58%, L 30%, I  8%, T &lt;1%, M &lt;1%, G &lt;1%, S &lt;1%</t>
  </si>
  <si>
    <t>MET:634:A</t>
  </si>
  <si>
    <t>I 47%, L 39%, M  9%, A  2%, V &lt;1%</t>
  </si>
  <si>
    <t>SER:635:A</t>
  </si>
  <si>
    <t>CYS:636:A</t>
  </si>
  <si>
    <t>G 37%, C 30%, A 26%, S  4%, T &lt;1%</t>
  </si>
  <si>
    <t>VAL:637:A</t>
  </si>
  <si>
    <t>I 54%, V 27%, G 14%, A  2%, M  1%, L &lt;1%</t>
  </si>
  <si>
    <t>SER:638:A</t>
  </si>
  <si>
    <t>S 67%, C 29%, T  1%, G &lt;1%, N &lt;1%, P &lt;1%</t>
  </si>
  <si>
    <t>CYS:639:A</t>
  </si>
  <si>
    <t>C 83%, T 16%, S &lt;1%</t>
  </si>
  <si>
    <t>PHE:640:A</t>
  </si>
  <si>
    <t>F 97%, A &lt;1%, S &lt;1%, L &lt;1%</t>
  </si>
  <si>
    <t>PHE:641:A</t>
  </si>
  <si>
    <t>F 92%, L  6%, W &lt;1%</t>
  </si>
  <si>
    <t>LEU:642:A</t>
  </si>
  <si>
    <t>SER:643:A</t>
  </si>
  <si>
    <t>W 37%, F 27%, S 23%, M  6%, L  3%, P &lt;1%</t>
  </si>
  <si>
    <t>PHE:644:A</t>
  </si>
  <si>
    <t>F 82%, L 14%, M  2%, A &lt;1%</t>
  </si>
  <si>
    <t>GLY:645:A</t>
  </si>
  <si>
    <t>G 83%, S 16%, W &lt;1%</t>
  </si>
  <si>
    <t>ASN:646:A</t>
  </si>
  <si>
    <t>N 37%, T 33%, F 15%, S 10%, Y  1%, A &lt;1%, H &lt;1%</t>
  </si>
  <si>
    <t>SER:647:A</t>
  </si>
  <si>
    <t>-0.775, -0.631  9,8</t>
  </si>
  <si>
    <t>S 96%, N  2%, T &lt;1%</t>
  </si>
  <si>
    <t>GLU:648:A</t>
  </si>
  <si>
    <t>E 81%, Q 16%, A &lt;1%, K &lt;1%, G &lt;1%</t>
  </si>
  <si>
    <t>SER:649:A</t>
  </si>
  <si>
    <t>S 82%, A 14%, G  3%</t>
  </si>
  <si>
    <t>ALA:650:A</t>
  </si>
  <si>
    <t>A 51%, M 33%, G  7%, V  2%, T  2%, S  1%, L &lt;1%, R &lt;1%, F &lt;1%</t>
  </si>
  <si>
    <t>MET:651:A</t>
  </si>
  <si>
    <t>M 80%, I 14%, V  2%, L  1%, S &lt;1%</t>
  </si>
  <si>
    <t>ILE:652:A</t>
  </si>
  <si>
    <t>I 97%, V  1%, P &lt;1%, L &lt;1%</t>
  </si>
  <si>
    <t>ALA:653:A</t>
  </si>
  <si>
    <t>A 45%, G 30%, F 18%, C  2%, S  1%, V &lt;1%, L &lt;1%</t>
  </si>
  <si>
    <t>LEU:654:A</t>
  </si>
  <si>
    <t>L 37%, M 37%, W 22%, V &lt;1%, F &lt;1%, I &lt;1%</t>
  </si>
  <si>
    <t>LEU:655:A</t>
  </si>
  <si>
    <t>L 68%, Q 30%, A &lt;1%</t>
  </si>
  <si>
    <t>CYS:656:A</t>
  </si>
  <si>
    <t>LEU:657:A</t>
  </si>
  <si>
    <t>L 97%, V  2%</t>
  </si>
  <si>
    <t>PHE:658:A</t>
  </si>
  <si>
    <t>F 62%, Y 37%</t>
  </si>
  <si>
    <t>GLY:659:A</t>
  </si>
  <si>
    <t>N 37%, G 31%, C 25%, Y  3%, P &lt;1%, S &lt;1%, F &lt;1%</t>
  </si>
  <si>
    <t>GLY:660:A</t>
  </si>
  <si>
    <t>G 98%, A  1%</t>
  </si>
  <si>
    <t>VAL:661:A</t>
  </si>
  <si>
    <t>L 38%, I 25%, V 20%, T  9%, A  6%</t>
  </si>
  <si>
    <t>SER:662:A</t>
  </si>
  <si>
    <t>S 87%, T 10%, N  2%</t>
  </si>
  <si>
    <t>ILE:663:A</t>
  </si>
  <si>
    <t>I 81%, V 15%, A  2%, L &lt;1%</t>
  </si>
  <si>
    <t>ALA:664:A</t>
  </si>
  <si>
    <t>A 61%, S 38%</t>
  </si>
  <si>
    <t>SER:665:A</t>
  </si>
  <si>
    <t>A 67%, S 32%</t>
  </si>
  <si>
    <t>TRP:666:A</t>
  </si>
  <si>
    <t>ASN:667:A</t>
  </si>
  <si>
    <t>N 97%, S  2%, L &lt;1%</t>
  </si>
  <si>
    <t>ALA:668:A</t>
  </si>
  <si>
    <t>S 41%, A 39%, G 17%, Q &lt;1%</t>
  </si>
  <si>
    <t>LEU:669:A</t>
  </si>
  <si>
    <t>L 85%, I 14%, P &lt;1%</t>
  </si>
  <si>
    <t>ASP:670:A</t>
  </si>
  <si>
    <t>D 79%, E 15%, N  2%, Q  2%, P &lt;1%</t>
  </si>
  <si>
    <t>VAL:671:A</t>
  </si>
  <si>
    <t>V 99%, W &lt;1%</t>
  </si>
  <si>
    <t>LEU:672:A</t>
  </si>
  <si>
    <t>V 39%, I 32%, L 27%, R &lt;1%, M &lt;1%</t>
  </si>
  <si>
    <t>THR:673:A</t>
  </si>
  <si>
    <t>T 96%, S  3%</t>
  </si>
  <si>
    <t>VAL:674:A</t>
  </si>
  <si>
    <t>V 76%, T 14%, A  9%</t>
  </si>
  <si>
    <t>GLU:675:A</t>
  </si>
  <si>
    <t>E 99%, A &lt;1%</t>
  </si>
  <si>
    <t>LEU:676:A</t>
  </si>
  <si>
    <t>L 85%, S 10%, I  3%, T &lt;1%</t>
  </si>
  <si>
    <t>TYR:677:A</t>
  </si>
  <si>
    <t>Y 85%, F 14%, W &lt;1%</t>
  </si>
  <si>
    <t>PRO:678:A</t>
  </si>
  <si>
    <t>P 97%, S  2%</t>
  </si>
  <si>
    <t>SER:679:A</t>
  </si>
  <si>
    <t>T 55%, S 36%, A  8%</t>
  </si>
  <si>
    <t>ASP:680:A</t>
  </si>
  <si>
    <t>D 60%, S 17%, N  8%, V  6%, H  3%, A  2%, T &lt;1%</t>
  </si>
  <si>
    <t>LYS:681:A</t>
  </si>
  <si>
    <t>K 60%, R 36%, Q  2%, I &lt;1%</t>
  </si>
  <si>
    <t>ARG:682:A</t>
  </si>
  <si>
    <t>THR:683:A</t>
  </si>
  <si>
    <t>A 33%, T 29%, G 28%, C  6%, S  1%, V &lt;1%</t>
  </si>
  <si>
    <t>THR:684:A</t>
  </si>
  <si>
    <t>T 98%, S &lt;1%, D &lt;1%</t>
  </si>
  <si>
    <t>ALA:685:A</t>
  </si>
  <si>
    <t>A 62%, G 36%, L &lt;1%</t>
  </si>
  <si>
    <t>PHE:686:A</t>
  </si>
  <si>
    <t>F 98%, S &lt;1%, Y &lt;1%</t>
  </si>
  <si>
    <t>GLY:687:A</t>
  </si>
  <si>
    <t>G 99%, H &lt;1%</t>
  </si>
  <si>
    <t>PHE:688:A</t>
  </si>
  <si>
    <t>F 70%, I 15%, V 12%, L  2%</t>
  </si>
  <si>
    <t>LEU:689:A</t>
  </si>
  <si>
    <t>L 71%, C 27%, T &lt;1%, M &lt;1%</t>
  </si>
  <si>
    <t>ASN:690:A</t>
  </si>
  <si>
    <t>N 97%, T &lt;1%, S &lt;1%, D &lt;1%</t>
  </si>
  <si>
    <t>ALA:691:A</t>
  </si>
  <si>
    <t>A 79%, G 17%, S  1%, C &lt;1%, L &lt;1%</t>
  </si>
  <si>
    <t>LEU:692:A</t>
  </si>
  <si>
    <t>L 76%, M 12%, I  5%, F  2%, V  2%, T &lt;1%</t>
  </si>
  <si>
    <t>CYS:693:A</t>
  </si>
  <si>
    <t>C 95%, S  2%, G &lt;1%, H &lt;1%</t>
  </si>
  <si>
    <t>LYS:694:A</t>
  </si>
  <si>
    <t>K 96%, R  2%, G &lt;1%</t>
  </si>
  <si>
    <t>LEU:695:A</t>
  </si>
  <si>
    <t>L 74%, F 12%, A  8%, V  2%, I  1%, M  1%</t>
  </si>
  <si>
    <t>ALA:696:A</t>
  </si>
  <si>
    <t>A 91%, G  7%, S &lt;1%, L &lt;1%</t>
  </si>
  <si>
    <t>ALA:697:A</t>
  </si>
  <si>
    <t>A 96%, T  2%, S &lt;1%, P &lt;1%</t>
  </si>
  <si>
    <t>VAL:698:A</t>
  </si>
  <si>
    <t>V 73%, I 25%, L &lt;1%</t>
  </si>
  <si>
    <t>LEU:699:A</t>
  </si>
  <si>
    <t>L 87%, M  4%, F  4%, I  2%, V &lt;1%</t>
  </si>
  <si>
    <t>GLY:700:A</t>
  </si>
  <si>
    <t>G 94%, A  3%, S  2%</t>
  </si>
  <si>
    <t>ILE:701:A</t>
  </si>
  <si>
    <t>N 48%, I 32%, S 17%, T  1%</t>
  </si>
  <si>
    <t>SER:702:A</t>
  </si>
  <si>
    <t>S 54%, L 34%, V  2%, T  2%, F  2%, M  1%, A  1%, I &lt;1%</t>
  </si>
  <si>
    <t>ILE:703:A</t>
  </si>
  <si>
    <t>I 97%, F &lt;1%, A &lt;1%, V &lt;1%</t>
  </si>
  <si>
    <t>PHE:704:A</t>
  </si>
  <si>
    <t>THR:705:A</t>
  </si>
  <si>
    <t>G 37%, A 28%, T 22%, Q 10%, S  1%, D &lt;1%</t>
  </si>
  <si>
    <t>SER:706:A</t>
  </si>
  <si>
    <t>S 94%, A  4%, G &lt;1%, K &lt;1%</t>
  </si>
  <si>
    <t>PHE:707:A</t>
  </si>
  <si>
    <t>F 61%, L 37%, T &lt;1%, C &lt;1%</t>
  </si>
  <si>
    <t>VAL:708:A</t>
  </si>
  <si>
    <t>V 97%, I  2%</t>
  </si>
  <si>
    <t>GLY:709:A</t>
  </si>
  <si>
    <t>G 88%, S  6%, E  1%, I &lt;1%, D &lt;1%, N &lt;1%, T &lt;1%, M &lt;1%</t>
  </si>
  <si>
    <t>ILE:710:A</t>
  </si>
  <si>
    <t>I 93%, V  4%, S &lt;1%, F &lt;1%, T &lt;1%</t>
  </si>
  <si>
    <t>THR:711:A</t>
  </si>
  <si>
    <t>T 95%, S  3%, A &lt;1%, G &lt;1%</t>
  </si>
  <si>
    <t>LYS:712:A</t>
  </si>
  <si>
    <t>K 97%, I  1%, R &lt;1%, T &lt;1%</t>
  </si>
  <si>
    <t>ALA:713:A</t>
  </si>
  <si>
    <t>A 64%, V 23%, S  5%, I  4%, T  1%</t>
  </si>
  <si>
    <t>ALA:714:A</t>
  </si>
  <si>
    <t>I 48%, V 47%, M  1%, L  1%, A &lt;1%, Y &lt;1%</t>
  </si>
  <si>
    <t>PRO:715:A</t>
  </si>
  <si>
    <t>P 99%, A &lt;1%</t>
  </si>
  <si>
    <t>ILE:716:A</t>
  </si>
  <si>
    <t>LEU:717:A</t>
  </si>
  <si>
    <t>L 92%, F  3%, M  2%, I  1%</t>
  </si>
  <si>
    <t>PHE:718:A</t>
  </si>
  <si>
    <t>L 60%, F 26%, M 12%</t>
  </si>
  <si>
    <t>ALA:719:A</t>
  </si>
  <si>
    <t>A 87%, S 12%</t>
  </si>
  <si>
    <t>SER:720:A</t>
  </si>
  <si>
    <t>S 74%, F 14%, A  8%, C  1%, G &lt;1%</t>
  </si>
  <si>
    <t>ALA:721:A</t>
  </si>
  <si>
    <t>S 35%, G 26%, T 18%, A 17%, V  1%, I &lt;1%, L &lt;1%</t>
  </si>
  <si>
    <t>ALA:722:A</t>
  </si>
  <si>
    <t>A 57%, V 37%, S  2%, T &lt;1%, L &lt;1%</t>
  </si>
  <si>
    <t>LEU:723:A</t>
  </si>
  <si>
    <t>ALA:724:A</t>
  </si>
  <si>
    <t>V 63%, A 31%, T  1%, M  1%, L  1%, G &lt;1%</t>
  </si>
  <si>
    <t>LEU:725:A</t>
  </si>
  <si>
    <t>G 31%, C 27%, A 23%, V  8%, L  5%, T  2%, S &lt;1%, M &lt;1%, F &lt;1%</t>
  </si>
  <si>
    <t>GLY:726:A</t>
  </si>
  <si>
    <t>SER:727:A</t>
  </si>
  <si>
    <t>G 66%, S 31%, A  1%</t>
  </si>
  <si>
    <t>SER:728:A</t>
  </si>
  <si>
    <t>L 66%, F 24%, S  6%, Y  1%, V &lt;1%</t>
  </si>
  <si>
    <t>LEU:729:A</t>
  </si>
  <si>
    <t>L 48%, V 42%, I  8%, M &lt;1%</t>
  </si>
  <si>
    <t>ALA:730:A</t>
  </si>
  <si>
    <t>A 61%, G 34%, S  4%</t>
  </si>
  <si>
    <t>LEU:731:A</t>
  </si>
  <si>
    <t>L 88%, T  7%, F  3%</t>
  </si>
  <si>
    <t>LYS:732:A</t>
  </si>
  <si>
    <t>R 52%, K 46%, N &lt;1%</t>
  </si>
  <si>
    <t>LEU:733:A</t>
  </si>
  <si>
    <t>PRO:734:A</t>
  </si>
  <si>
    <t>GLU:735:A</t>
  </si>
  <si>
    <t>E 53%, D 45%, N &lt;1%</t>
  </si>
  <si>
    <t>THR:736:A</t>
  </si>
  <si>
    <t>ARG:737:A</t>
  </si>
  <si>
    <t>R 95%, P  1%, Q  1%, M &lt;1%, H &lt;1%</t>
  </si>
  <si>
    <t>GLY:738:A</t>
  </si>
  <si>
    <t>G 35%, E 22%, A 14%, T  6%, S  6%, D  4%, N  4%, Q  2%, P &lt;1%, R &lt;1%, K &lt;1%</t>
  </si>
  <si>
    <t>GLN:739:A</t>
  </si>
  <si>
    <t>Q 51%, N 25%, K 15%, L  4%, R  2%, M &lt;1%, I &lt;1%</t>
  </si>
  <si>
    <t>VAL:740:A</t>
  </si>
  <si>
    <t>V 86%, I  9%, L  2%, A  1%</t>
  </si>
  <si>
    <t>LEU:741:A</t>
  </si>
  <si>
    <t>GLN:742:A</t>
  </si>
  <si>
    <t>Q 98%, E  1%</t>
  </si>
  <si>
    <t>Cα RMSD header for 1</t>
  </si>
  <si>
    <t>1: 13.030350131369133</t>
  </si>
  <si>
    <t>2: 7.410020376203528</t>
  </si>
  <si>
    <t>3: 5.642757234033576</t>
  </si>
  <si>
    <t>4: 2.8275077002707487</t>
  </si>
  <si>
    <t>5: 1.090574386153033</t>
  </si>
  <si>
    <t>6: 0.5418968123902679</t>
  </si>
  <si>
    <t>7: 1.7212110171315893</t>
  </si>
  <si>
    <t>8: 1.50998923428191</t>
  </si>
  <si>
    <t>9: 1.5135751676542943</t>
  </si>
  <si>
    <t>10: 2.189203940478032</t>
  </si>
  <si>
    <t>11: 5.643210089066124</t>
  </si>
  <si>
    <t>12: 7.162150098484412</t>
  </si>
  <si>
    <t>13: 7.0207623894572</t>
  </si>
  <si>
    <t>14: 6.120565001735891</t>
  </si>
  <si>
    <t>15: 5.445734880358586</t>
  </si>
  <si>
    <t>16: 5.072383187256718</t>
  </si>
  <si>
    <t>17: 5.854743073242191</t>
  </si>
  <si>
    <t>18: 3.94593126539072</t>
  </si>
  <si>
    <t>19: 3.934283901856661</t>
  </si>
  <si>
    <t>20: 6.0801132562880085</t>
  </si>
  <si>
    <t>21: 4.8739520848852464</t>
  </si>
  <si>
    <t>22: 3.618187283238246</t>
  </si>
  <si>
    <t>23: 2.8539122052840655</t>
  </si>
  <si>
    <t>24: 1.0594473161895548</t>
  </si>
  <si>
    <t>25: 2.2030093058806335</t>
  </si>
  <si>
    <t>26: 2.0631260139459995</t>
  </si>
  <si>
    <t>27: 1.4821112820001885</t>
  </si>
  <si>
    <t>28: 0.8693092341245713</t>
  </si>
  <si>
    <t>29: 0.8374102424180727</t>
  </si>
  <si>
    <t>30: 0.7163606307399807</t>
  </si>
  <si>
    <t>31: 0.8121990400505369</t>
  </si>
  <si>
    <t>32: 0.7393233961349374</t>
  </si>
  <si>
    <t>33: 0.7352309384682312</t>
  </si>
  <si>
    <t>34: 0.8607824153173019</t>
  </si>
  <si>
    <t>35: 0.6321064541482584</t>
  </si>
  <si>
    <t>36: 1.2558509495091499</t>
  </si>
  <si>
    <t>37: 1.4402052432624204</t>
  </si>
  <si>
    <t>38: 0.9802687939557759</t>
  </si>
  <si>
    <t>39: 0.4522117145096262</t>
  </si>
  <si>
    <t>40: 0.6279406982584206</t>
  </si>
  <si>
    <t>41: 0.6346513017512235</t>
  </si>
  <si>
    <t>42: 1.0927271989894598</t>
  </si>
  <si>
    <t>43: 0.8772870121124616</t>
  </si>
  <si>
    <t>44: 0.7667543683513939</t>
  </si>
  <si>
    <t>45: 2.081102153579192</t>
  </si>
  <si>
    <t>46: 3.446240920292676</t>
  </si>
  <si>
    <t>47: 2.6830436325722795</t>
  </si>
  <si>
    <t>48: 3.4975652909493427</t>
  </si>
  <si>
    <t>49: 5.237491447096119</t>
  </si>
  <si>
    <t>50: 8.9149312166901</t>
  </si>
  <si>
    <t>51: 11.913689628330834</t>
  </si>
  <si>
    <t>52: 7.498104782536675</t>
  </si>
  <si>
    <t>53: 10.337831360647986</t>
  </si>
  <si>
    <t>54: 9.434998082833037</t>
  </si>
  <si>
    <t>55: 5.5556621861174635</t>
  </si>
  <si>
    <t>56: 5.883234024964475</t>
  </si>
  <si>
    <t>57: 5.35919210898341</t>
  </si>
  <si>
    <t>58: 4.787257591687073</t>
  </si>
  <si>
    <t>59: 3.744905374360933</t>
  </si>
  <si>
    <t>60: 4.01947318656353</t>
  </si>
  <si>
    <t>61: 3.9515559875710844</t>
  </si>
  <si>
    <t>62: 4.654033056670222</t>
  </si>
  <si>
    <t>63: 4.147516838741635</t>
  </si>
  <si>
    <t>64: 3.4412086878772756</t>
  </si>
  <si>
    <t>65: 1.8478267756798274</t>
  </si>
  <si>
    <t>66: 1.7574133853843887</t>
  </si>
  <si>
    <t>67: 1.243479027464111</t>
  </si>
  <si>
    <t>68: 1.8721595208689246</t>
  </si>
  <si>
    <t>69: 1.9062476493661804</t>
  </si>
  <si>
    <t>70: 1.5494403499725904</t>
  </si>
  <si>
    <t>71: 1.4858341968188704</t>
  </si>
  <si>
    <t>72: 0.9508509503929929</t>
  </si>
  <si>
    <t>73: 0.8258520989402501</t>
  </si>
  <si>
    <t>74: 0.2872370385147016</t>
  </si>
  <si>
    <t>75: 0.56612760442298</t>
  </si>
  <si>
    <t>76: 0.39210627639049445</t>
  </si>
  <si>
    <t>77: 0.11895598407849244</t>
  </si>
  <si>
    <t>78: 0.17968262487220904</t>
  </si>
  <si>
    <t>79: 0.4166179302124951</t>
  </si>
  <si>
    <t>80: 0.5476858271733254</t>
  </si>
  <si>
    <t>81: 0.5723818170283841</t>
  </si>
  <si>
    <t>82: 0.7336030940196774</t>
  </si>
  <si>
    <t>83: 1.0510487296394586</t>
  </si>
  <si>
    <t>84: 0.7153067957967896</t>
  </si>
  <si>
    <t>85: 0.5848133748064954</t>
  </si>
  <si>
    <t>86: 1.1391988821316135</t>
  </si>
  <si>
    <t>87: 1.0640941631573697</t>
  </si>
  <si>
    <t>88: 0.7737253425263204</t>
  </si>
  <si>
    <t>89: 1.0171168627251066</t>
  </si>
  <si>
    <t>90: 1.4101899908270112</t>
  </si>
  <si>
    <t>91: 1.129448582076955</t>
  </si>
  <si>
    <t>92: 0.540031669537657</t>
  </si>
  <si>
    <t>93: 1.3246322383276514</t>
  </si>
  <si>
    <t>94: 1.1932528672215945</t>
  </si>
  <si>
    <t>95: 0.5819797619157518</t>
  </si>
  <si>
    <t>96: 0.9972025976676057</t>
  </si>
  <si>
    <t>97: 0.8318552966684684</t>
  </si>
  <si>
    <t>98: 0.6997535260960139</t>
  </si>
  <si>
    <t>99: 0.8218719533243186</t>
  </si>
  <si>
    <t>100: 0.4411797794418435</t>
  </si>
  <si>
    <t>101: 0.259806822142127</t>
  </si>
  <si>
    <t>102: 0.23967620917517085</t>
  </si>
  <si>
    <t>103: 0.6145726789341704</t>
  </si>
  <si>
    <t>104: 0.6243230969184276</t>
  </si>
  <si>
    <t>105: 0.34939048009441254</t>
  </si>
  <si>
    <t>106: 0.5063677451824068</t>
  </si>
  <si>
    <t>107: 0.5255161718243283</t>
  </si>
  <si>
    <t>108: 0.5388338769994057</t>
  </si>
  <si>
    <t>109: 0.44885330943745927</t>
  </si>
  <si>
    <t>110: 0.6612014194103266</t>
  </si>
  <si>
    <t>111: 0.2670809370236623</t>
  </si>
  <si>
    <t>112: 0.16488450622092676</t>
  </si>
  <si>
    <t>113: 0.24709645914082506</t>
  </si>
  <si>
    <t>114: 0.41818229249414035</t>
  </si>
  <si>
    <t>115: 0.24211229499868966</t>
  </si>
  <si>
    <t>116: 0.8171516603744172</t>
  </si>
  <si>
    <t>117: 0.7829728943410392</t>
  </si>
  <si>
    <t>118: 0.35457583452824226</t>
  </si>
  <si>
    <t>119: 0.395494470688769</t>
  </si>
  <si>
    <t>120: 0.40625255782683056</t>
  </si>
  <si>
    <t>121: 0.4317013954065953</t>
  </si>
  <si>
    <t>122: 0.3437625271249926</t>
  </si>
  <si>
    <t>123: 0.2749484645492624</t>
  </si>
  <si>
    <t>124: 0.2853150747701337</t>
  </si>
  <si>
    <t>125: 0.5970636081115014</t>
  </si>
  <si>
    <t>126: 0.7767920370370335</t>
  </si>
  <si>
    <t>127: 1.2651541304697684</t>
  </si>
  <si>
    <t>128: 1.6102168111506012</t>
  </si>
  <si>
    <t>129: 1.6879735394786666</t>
  </si>
  <si>
    <t>130: 1.90126721724658</t>
  </si>
  <si>
    <t>131: 2.5075410979904698</t>
  </si>
  <si>
    <t>132: 2.5759706509709845</t>
  </si>
  <si>
    <t>133: 2.887304925415302</t>
  </si>
  <si>
    <t>134: 2.5028649061990285</t>
  </si>
  <si>
    <t>135: 1.9061254469206441</t>
  </si>
  <si>
    <t>136: 6.161065396290362</t>
  </si>
  <si>
    <t>137: 8.931537688616878</t>
  </si>
  <si>
    <t>138: 7.699222776212565</t>
  </si>
  <si>
    <t>139: 7.089058525184335</t>
  </si>
  <si>
    <t>140: 4.247641074537567</t>
  </si>
  <si>
    <t>141: 2.848245700042899</t>
  </si>
  <si>
    <t>142: 4.2597813743153345</t>
  </si>
  <si>
    <t>143: 3.912655057655979</t>
  </si>
  <si>
    <t>144: 3.9778899187483825</t>
  </si>
  <si>
    <t>145: 3.0404838617926333</t>
  </si>
  <si>
    <t>146: 2.4125832607317235</t>
  </si>
  <si>
    <t>147: 2.207171350185263</t>
  </si>
  <si>
    <t>148: 1.8854240415324144</t>
  </si>
  <si>
    <t>149: 1.174533083646839</t>
  </si>
  <si>
    <t>150: 0.7643232270716669</t>
  </si>
  <si>
    <t>151: 1.1548264726938717</t>
  </si>
  <si>
    <t>152: 1.3615870686112248</t>
  </si>
  <si>
    <t>153: 0.944180332751912</t>
  </si>
  <si>
    <t>154: 1.0150924562579533</t>
  </si>
  <si>
    <t>155: 1.386196656809293</t>
  </si>
  <si>
    <t>156: 1.0808848314518942</t>
  </si>
  <si>
    <t>157: 0.6036675673348343</t>
  </si>
  <si>
    <t>158: 0.49916754486974435</t>
  </si>
  <si>
    <t>159: 0.5191234331772243</t>
  </si>
  <si>
    <t>160: 0.32227077118429853</t>
  </si>
  <si>
    <t>161: 0.39286201635764895</t>
  </si>
  <si>
    <t>162: 0.7680414978266952</t>
  </si>
  <si>
    <t>163: 1.124969093961514</t>
  </si>
  <si>
    <t>164: 1.0265284428946522</t>
  </si>
  <si>
    <t>165: 0.9050312102656118</t>
  </si>
  <si>
    <t>166: 1.5261876917688046</t>
  </si>
  <si>
    <t>167: 1.3972257960719943</t>
  </si>
  <si>
    <t>168: 0.7828765565248033</t>
  </si>
  <si>
    <t>169: 1.2787440141700328</t>
  </si>
  <si>
    <t>170: 1.728637593601462</t>
  </si>
  <si>
    <t>171: 0.8968418011418243</t>
  </si>
  <si>
    <t>172: 1.1008865160795844</t>
  </si>
  <si>
    <t>173: 1.5667421845167175</t>
  </si>
  <si>
    <t>174: 0.7680548018918173</t>
  </si>
  <si>
    <t>175: 1.4156428829313465</t>
  </si>
  <si>
    <t>176: 1.4382841883708495</t>
  </si>
  <si>
    <t>177: 0.6684476594870046</t>
  </si>
  <si>
    <t>178: 2.1515428172005646</t>
  </si>
  <si>
    <t>179: 2.57475126637532</t>
  </si>
  <si>
    <t>180: 1.0935392704932716</t>
  </si>
  <si>
    <t>181: 6.711833260054398</t>
  </si>
  <si>
    <t>182: 5.428056704909237</t>
  </si>
  <si>
    <t>183: 2.1214674622780074</t>
  </si>
  <si>
    <t>184: 3.957953521035319</t>
  </si>
  <si>
    <t>185: None</t>
  </si>
  <si>
    <t>186: None</t>
  </si>
  <si>
    <t>187: None</t>
  </si>
  <si>
    <t>1: 8.13543071779161</t>
  </si>
  <si>
    <t>2: 7.756664505955472</t>
  </si>
  <si>
    <t>3: 6.3782081698509705</t>
  </si>
  <si>
    <t>4: 4.44439629496805</t>
  </si>
  <si>
    <t>5: 4.199096828614488</t>
  </si>
  <si>
    <t>6: 4.465991340713647</t>
  </si>
  <si>
    <t>7: 4.335590796728957</t>
  </si>
  <si>
    <t>8: 5.144363692672257</t>
  </si>
  <si>
    <t>9: 5.153933175449859</t>
  </si>
  <si>
    <t>10: 5.358999877018746</t>
  </si>
  <si>
    <t>11: 4.549465814529353</t>
  </si>
  <si>
    <t>12: 3.966026372486349</t>
  </si>
  <si>
    <t>13: 4.513353482787361</t>
  </si>
  <si>
    <t>14: 4.4266586319937105</t>
  </si>
  <si>
    <t>15: 2.723545491353542</t>
  </si>
  <si>
    <t>16: 2.6853714861674254</t>
  </si>
  <si>
    <t>17: 3.639933031734147</t>
  </si>
  <si>
    <t>18: 2.392496074897219</t>
  </si>
  <si>
    <t>19: 2.1805287174655468</t>
  </si>
  <si>
    <t>20: 3.169740833654916</t>
  </si>
  <si>
    <t>21: 3.2510743033071394</t>
  </si>
  <si>
    <t>22: 3.5719370720756056</t>
  </si>
  <si>
    <t>23: 2.4666118118467915</t>
  </si>
  <si>
    <t>24: 3.183849876578326</t>
  </si>
  <si>
    <t>25: 3.855815092158388</t>
  </si>
  <si>
    <t>26: 3.310732943985747</t>
  </si>
  <si>
    <t>27: 2.8778920380404527</t>
  </si>
  <si>
    <t>28: 3.8824109896601025</t>
  </si>
  <si>
    <t>29: 2.4669794575948094</t>
  </si>
  <si>
    <t>30: 2.103277506868179</t>
  </si>
  <si>
    <t>31: 2.1848608133385365</t>
  </si>
  <si>
    <t>32: 2.1262104871550402</t>
  </si>
  <si>
    <t>33: 2.119718014529178</t>
  </si>
  <si>
    <t>34: 1.6936733761518985</t>
  </si>
  <si>
    <t>35: 0.9720421791797178</t>
  </si>
  <si>
    <t>36: 1.191180658162508</t>
  </si>
  <si>
    <t>37: 1.2167852342112897</t>
  </si>
  <si>
    <t>38: 1.326138584868274</t>
  </si>
  <si>
    <t>39: 1.4047561258001964</t>
  </si>
  <si>
    <t>40: 1.4025779381907213</t>
  </si>
  <si>
    <t>41: 1.211119376962071</t>
  </si>
  <si>
    <t>42: 1.097870197362421</t>
  </si>
  <si>
    <t>43: 0.9750184382581291</t>
  </si>
  <si>
    <t>44: 1.205881988903844</t>
  </si>
  <si>
    <t>45: 1.1489634113228107</t>
  </si>
  <si>
    <t>46: 1.3001615185254152</t>
  </si>
  <si>
    <t>47: 1.3729025623333415</t>
  </si>
  <si>
    <t>48: 1.3415042322702901</t>
  </si>
  <si>
    <t>49: 1.2484012657428067</t>
  </si>
  <si>
    <t>50: 2.8054364430720873</t>
  </si>
  <si>
    <t>51: 2.6505231677044865</t>
  </si>
  <si>
    <t>52: 1.9035995787777806</t>
  </si>
  <si>
    <t>53: 2.638124977738153</t>
  </si>
  <si>
    <t>54: 2.607134342632373</t>
  </si>
  <si>
    <t>55: 2.6928591089220246</t>
  </si>
  <si>
    <t>56: 2.1778144179886585</t>
  </si>
  <si>
    <t>57: 2.849383317037992</t>
  </si>
  <si>
    <t>58: 3.165800676002971</t>
  </si>
  <si>
    <t>59: 2.9118877016361275</t>
  </si>
  <si>
    <t>60: 3.350608494476059</t>
  </si>
  <si>
    <t>61: 4.998219323769064</t>
  </si>
  <si>
    <t>62: 4.445616775661007</t>
  </si>
  <si>
    <t>63: 2.6249340655920923</t>
  </si>
  <si>
    <t>64: 2.0404333374492203</t>
  </si>
  <si>
    <t>65: 2.8236445629529907</t>
  </si>
  <si>
    <t>66: 3.917013510191527</t>
  </si>
  <si>
    <t>67: 1.002283706668588</t>
  </si>
  <si>
    <t>68: 4.470438395732035</t>
  </si>
  <si>
    <t>69: 4.721587869052384</t>
  </si>
  <si>
    <t>70: 3.8634234017238342</t>
  </si>
  <si>
    <t>71: 5.40158640083447</t>
  </si>
  <si>
    <t>72: 0.9197893006349789</t>
  </si>
  <si>
    <t>73: 1.7351036144217356</t>
  </si>
  <si>
    <t>74: 1.538080364031158</t>
  </si>
  <si>
    <t>75: 1.498405073329094</t>
  </si>
  <si>
    <t>76: 1.1971932566146282</t>
  </si>
  <si>
    <t>77: 1.2130186615694953</t>
  </si>
  <si>
    <t>78: 1.0317575020812877</t>
  </si>
  <si>
    <t>79: 1.0940010551702113</t>
  </si>
  <si>
    <t>80: 1.554581158353956</t>
  </si>
  <si>
    <t>81: 1.1457674982912622</t>
  </si>
  <si>
    <t>82: 0.5209003209102876</t>
  </si>
  <si>
    <t>83: 0.6673371295564116</t>
  </si>
  <si>
    <t>84: 0.6336715984374787</t>
  </si>
  <si>
    <t>85: 0.4708802000154217</t>
  </si>
  <si>
    <t>86: 0.710437754844383</t>
  </si>
  <si>
    <t>87: 1.060847120585985</t>
  </si>
  <si>
    <t>88: 0.13057261790013505</t>
  </si>
  <si>
    <t>89: 0.5242787418449039</t>
  </si>
  <si>
    <t>90: 0.8218980996955376</t>
  </si>
  <si>
    <t>91: 1.416918046010251</t>
  </si>
  <si>
    <t>92: 1.5236700181057237</t>
  </si>
  <si>
    <t>93: 0.9245635455417385</t>
  </si>
  <si>
    <t>94: 0.7492418190115979</t>
  </si>
  <si>
    <t>95: 0.2881387645816506</t>
  </si>
  <si>
    <t>96: 0.44353790102413776</t>
  </si>
  <si>
    <t>97: 0.43818047397199217</t>
  </si>
  <si>
    <t>98: 0.7294974637528182</t>
  </si>
  <si>
    <t>99: 0.9776537454398472</t>
  </si>
  <si>
    <t>100: 0.6536920742392665</t>
  </si>
  <si>
    <t>101: 1.027905173581184</t>
  </si>
  <si>
    <t>102: 1.153962654848255</t>
  </si>
  <si>
    <t>103: 0.614758911454835</t>
  </si>
  <si>
    <t>104: 0.5569871112827693</t>
  </si>
  <si>
    <t>105: 0.6307793805955071</t>
  </si>
  <si>
    <t>106: 0.6464341181037504</t>
  </si>
  <si>
    <t>107: 0.8930439247972578</t>
  </si>
  <si>
    <t>108: 0.6432981048232158</t>
  </si>
  <si>
    <t>109: 0.35397607298654565</t>
  </si>
  <si>
    <t>110: 0.2637734571396294</t>
  </si>
  <si>
    <t>111: 0.5732757464002398</t>
  </si>
  <si>
    <t>112: 0.9026220450831887</t>
  </si>
  <si>
    <t>113: 0.875489250072087</t>
  </si>
  <si>
    <t>114: 0.7590452316858827</t>
  </si>
  <si>
    <t>115: 1.0612263364562047</t>
  </si>
  <si>
    <t>116: 1.617841893404971</t>
  </si>
  <si>
    <t>117: 1.508801901625829</t>
  </si>
  <si>
    <t>118: 0.9649276842380592</t>
  </si>
  <si>
    <t>119: 1.369514662944034</t>
  </si>
  <si>
    <t>120: 1.8251695633650664</t>
  </si>
  <si>
    <t>121: 1.714662376761917</t>
  </si>
  <si>
    <t>122: 1.6661299534027447</t>
  </si>
  <si>
    <t>123: 1.0520273796693378</t>
  </si>
  <si>
    <t>124: 1.1221775763669004</t>
  </si>
  <si>
    <t>125: 0.8858879353429965</t>
  </si>
  <si>
    <t>126: 0.5957908189749854</t>
  </si>
  <si>
    <t>127: 0.5596345244450448</t>
  </si>
  <si>
    <t>128: 0.9722736182391323</t>
  </si>
  <si>
    <t>129: 0.861676924078122</t>
  </si>
  <si>
    <t>130: 0.6078453556453197</t>
  </si>
  <si>
    <t>131: 0.6724869924620414</t>
  </si>
  <si>
    <t>132: 0.2838332885119153</t>
  </si>
  <si>
    <t>133: 0.485478386307439</t>
  </si>
  <si>
    <t>134: 0.277515295394536</t>
  </si>
  <si>
    <t>135: 0.37750664870496015</t>
  </si>
  <si>
    <t>136: 0.4977228857783212</t>
  </si>
  <si>
    <t>137: 0.22118674933343302</t>
  </si>
  <si>
    <t>138: 0.6656124194924711</t>
  </si>
  <si>
    <t>139: 1.2225842586050624</t>
  </si>
  <si>
    <t>140: 1.432082087359238</t>
  </si>
  <si>
    <t>141: 0.700998814174456</t>
  </si>
  <si>
    <t>142: 0.9805470799075786</t>
  </si>
  <si>
    <t>143: 0.9532128165866574</t>
  </si>
  <si>
    <t>144: 0.6590446779195185</t>
  </si>
  <si>
    <t>145: 0.5660952982290944</t>
  </si>
  <si>
    <t>146: 0.4233030604850217</t>
  </si>
  <si>
    <t>147: 0.208566337720586</t>
  </si>
  <si>
    <t>148: 0.24896215475275618</t>
  </si>
  <si>
    <t>149: 0.6105932760202375</t>
  </si>
  <si>
    <t>150: 0.5750088862082057</t>
  </si>
  <si>
    <t>151: 0.9155055722559398</t>
  </si>
  <si>
    <t>152: 1.076044578245805</t>
  </si>
  <si>
    <t>153: 0.7940807699467493</t>
  </si>
  <si>
    <t>154: 0.5983018389128141</t>
  </si>
  <si>
    <t>155: 1.230842470462155</t>
  </si>
  <si>
    <t>156: 0.872817848068159</t>
  </si>
  <si>
    <t>157: 1.8796216092572668</t>
  </si>
  <si>
    <t>158: 1.5093444998936008</t>
  </si>
  <si>
    <t>159: 0.31384342485763933</t>
  </si>
  <si>
    <t>160: 0.8097673804827157</t>
  </si>
  <si>
    <t>161: 1.264985187821483</t>
  </si>
  <si>
    <t>162: 1.0342115114051744</t>
  </si>
  <si>
    <t>163: 0.9878604853833043</t>
  </si>
  <si>
    <t>164: 1.2006557866640584</t>
  </si>
  <si>
    <t>165: 0.4819561353130787</t>
  </si>
  <si>
    <t>166: 0.9141359303843563</t>
  </si>
  <si>
    <t>167: 1.354509770274458</t>
  </si>
  <si>
    <t>168: 1.0996572828270845</t>
  </si>
  <si>
    <t>169: 0.8461114389257617</t>
  </si>
  <si>
    <t>170: 1.0240125595000202</t>
  </si>
  <si>
    <t>171: 1.23448383690483</t>
  </si>
  <si>
    <t>172: 1.3546589145543566</t>
  </si>
  <si>
    <t>173: 1.1105086193130755</t>
  </si>
  <si>
    <t>174: 1.2248338519358062</t>
  </si>
  <si>
    <t>175: 1.9985573743742955</t>
  </si>
  <si>
    <t>176: 1.6244902905812426</t>
  </si>
  <si>
    <t>177: 1.888891200014326</t>
  </si>
  <si>
    <t>178: 2.7608291304753556</t>
  </si>
  <si>
    <t>179: 3.1528815691167447</t>
  </si>
  <si>
    <t>180: 3.0861626177623616</t>
  </si>
  <si>
    <t>181: 3.3795141296160893</t>
  </si>
  <si>
    <t>182: 3.8718556452435933</t>
  </si>
  <si>
    <t>183: 4.541004438844017</t>
  </si>
  <si>
    <t>184: 4.753324288467098</t>
  </si>
  <si>
    <t>185: 4.600013329701316</t>
  </si>
  <si>
    <t>186: 5.1642951144360385</t>
  </si>
  <si>
    <t>187: 5.147735091199532</t>
  </si>
  <si>
    <t>188: 4.796153489800872</t>
  </si>
  <si>
    <t>189: 5.051967663177582</t>
  </si>
  <si>
    <t>190: 4.403935652332673</t>
  </si>
  <si>
    <t>191: 3.285962604140828</t>
  </si>
  <si>
    <t>192: 2.9199675221200265</t>
  </si>
  <si>
    <t>193: 3.00528322505525</t>
  </si>
  <si>
    <t>194: 3.471330517771209</t>
  </si>
  <si>
    <t>195: 2.465836239353712</t>
  </si>
  <si>
    <t>196: 3.1157502763914775</t>
  </si>
  <si>
    <t>197: 2.61504259323686</t>
  </si>
  <si>
    <t>198: 2.862360760545224</t>
  </si>
  <si>
    <t>199: 2.487914619141201</t>
  </si>
  <si>
    <t>200: 2.229078599851684</t>
  </si>
  <si>
    <t>201: 1.5157751651750393</t>
  </si>
  <si>
    <t>202: 1.7118503981802304</t>
  </si>
  <si>
    <t>203: 2.097633819981667</t>
  </si>
  <si>
    <t>204: 1.7816317337111713</t>
  </si>
  <si>
    <t>205: 1.3475145492937801</t>
  </si>
  <si>
    <t>206: 2.078982180460212</t>
  </si>
  <si>
    <t>207: 2.650316012522996</t>
  </si>
  <si>
    <t>208: 1.409545683362079</t>
  </si>
  <si>
    <t>209: 1.0085244496956665</t>
  </si>
  <si>
    <t>210: 1.2308520221906862</t>
  </si>
  <si>
    <t>211: 1.3826159789347685</t>
  </si>
  <si>
    <t>212: 1.145508378314564</t>
  </si>
  <si>
    <t>213: 1.316393135572325</t>
  </si>
  <si>
    <t>214: 1.2408471802129997</t>
  </si>
  <si>
    <t>215: 0.7651307396941815</t>
  </si>
  <si>
    <t>216: 0.8604514792247434</t>
  </si>
  <si>
    <t>217: 1.1838777014849284</t>
  </si>
  <si>
    <t>218: 0.8769223194665907</t>
  </si>
  <si>
    <t>219: 1.157206630374934</t>
  </si>
  <si>
    <t>220: 1.094598650086329</t>
  </si>
  <si>
    <t>221: 1.197483908515107</t>
  </si>
  <si>
    <t>222: 0.4625330381541628</t>
  </si>
  <si>
    <t>223: 1.149962067821201</t>
  </si>
  <si>
    <t>224: 1.5805939281916237</t>
  </si>
  <si>
    <t>225: 1.5959949556523587</t>
  </si>
  <si>
    <t>226: 3.2424339727901232</t>
  </si>
  <si>
    <t>227: 3.2052742167490447</t>
  </si>
  <si>
    <t>228: 2.6546462578729733</t>
  </si>
  <si>
    <t>229: 2.95871380579428</t>
  </si>
  <si>
    <t>230: 4.134572164142996</t>
  </si>
  <si>
    <t>231: 4.224424656748035</t>
  </si>
  <si>
    <t>232: 4.226134768728636</t>
  </si>
  <si>
    <t>233: 3.0107897090731743</t>
  </si>
  <si>
    <t>234: 1.0671485130037328</t>
  </si>
  <si>
    <t>235: 1.1130773311344766</t>
  </si>
  <si>
    <t>236: 1.9708748163466034</t>
  </si>
  <si>
    <t>237: 1.3407457848949533</t>
  </si>
  <si>
    <t>238: 0.7922016941223565</t>
  </si>
  <si>
    <t>239: 1.379907619919208</t>
  </si>
  <si>
    <t>240: 0.5167392085008493</t>
  </si>
  <si>
    <t>241: 1.3681888589499869</t>
  </si>
  <si>
    <t>242: 2.2442055609332177</t>
  </si>
  <si>
    <t>243: 1.6753256202804605</t>
  </si>
  <si>
    <t>244: 1.8926758259980654</t>
  </si>
  <si>
    <t>245: 2.8769542249494484</t>
  </si>
  <si>
    <t>246: 3.2837088122253215</t>
  </si>
  <si>
    <t>247: 2.8158255858116426</t>
  </si>
  <si>
    <t>248: 3.2778533047643337</t>
  </si>
  <si>
    <t>249: 3.999590013887731</t>
  </si>
  <si>
    <t>250: 3.652913993480972</t>
  </si>
  <si>
    <t>251: 3.225008550096633</t>
  </si>
  <si>
    <t>252: 4.681528334165067</t>
  </si>
  <si>
    <t>253: 5.35076371771613</t>
  </si>
  <si>
    <t>254: 5.33158776294648</t>
  </si>
  <si>
    <t>255: 5.439389251414172</t>
  </si>
  <si>
    <t>256: 5.336797589198426</t>
  </si>
  <si>
    <t>257: 4.839457051164504</t>
  </si>
  <si>
    <t>258: 5.168541460264343</t>
  </si>
  <si>
    <t>259: 3.7339608075517794</t>
  </si>
  <si>
    <t>260: 3.701415042018726</t>
  </si>
  <si>
    <t>261: 3.4954804910722914</t>
  </si>
  <si>
    <t>262: 3.686625769001635</t>
  </si>
  <si>
    <t>263: 1.840308761140465</t>
  </si>
  <si>
    <t>264: 3.1703233212468804</t>
  </si>
  <si>
    <t>265: 2.539628927677986</t>
  </si>
  <si>
    <t>266: 4.184143691620645</t>
  </si>
  <si>
    <t>267: 4.180981446723999</t>
  </si>
  <si>
    <t>268: 4.273328399003163</t>
  </si>
  <si>
    <t>269: 4.420347323276827</t>
  </si>
  <si>
    <t>270: 5.0622762666466565</t>
  </si>
  <si>
    <t>271: 9.697331516358707</t>
  </si>
  <si>
    <t>272: 10.833766867177038</t>
  </si>
  <si>
    <t>273: 12.709983589196536</t>
  </si>
  <si>
    <t>274: 6.919193263537394</t>
  </si>
  <si>
    <t>275: 7.2805387695119235</t>
  </si>
  <si>
    <t>276: 9.414969761316266</t>
  </si>
  <si>
    <t>277: 3.060512629835836</t>
  </si>
  <si>
    <t>278: 4.0946096667768135</t>
  </si>
  <si>
    <t>279: 5.282731652027322</t>
  </si>
  <si>
    <t>280: 5.989370082010694</t>
  </si>
  <si>
    <t>281: 7.462410824958393</t>
  </si>
  <si>
    <t>282: 7.1254008544952505</t>
  </si>
  <si>
    <t>283: 5.884765911480301</t>
  </si>
  <si>
    <t>284: 5.695566866737073</t>
  </si>
  <si>
    <t>285: 5.86380314638479</t>
  </si>
  <si>
    <t>286: 5.216856246462378</t>
  </si>
  <si>
    <t>287: 4.21741225037605</t>
  </si>
  <si>
    <t>288: 4.343715338491968</t>
  </si>
  <si>
    <t>289: 3.600779478782818</t>
  </si>
  <si>
    <t>290: 3.239386368448779</t>
  </si>
  <si>
    <t>291: 3.0483356892521996</t>
  </si>
  <si>
    <t>292: 2.7008359936073547</t>
  </si>
  <si>
    <t>293: 2.2275758011618674</t>
  </si>
  <si>
    <t>294: 1.974846071308222</t>
  </si>
  <si>
    <t>295: 2.2016502368015427</t>
  </si>
  <si>
    <t>296: 2.3201078681484297</t>
  </si>
  <si>
    <t>297: 1.1300192171360421</t>
  </si>
  <si>
    <t>298: 1.3085249910647774</t>
  </si>
  <si>
    <t>299: 1.163283739778652</t>
  </si>
  <si>
    <t>300: 0.3162456791161242</t>
  </si>
  <si>
    <t>301: 1.5344592608585335</t>
  </si>
  <si>
    <t>302: 1.661099509098827</t>
  </si>
  <si>
    <t>303: 0.7362217063840457</t>
  </si>
  <si>
    <t>304: 1.338958024062778</t>
  </si>
  <si>
    <t>305: 2.058949492609616</t>
  </si>
  <si>
    <t>306: 2.8972126178587048</t>
  </si>
  <si>
    <t>307: 3.046914469996251</t>
  </si>
  <si>
    <t>308: 3.187312030601104</t>
  </si>
  <si>
    <t>309: 2.454528253051446</t>
  </si>
  <si>
    <t>310: 1.2315065441774493</t>
  </si>
  <si>
    <t>311: 1.8267113563873216</t>
  </si>
  <si>
    <t>312: 1.5710551261687458</t>
  </si>
  <si>
    <t>313: 1.5847025459493969</t>
  </si>
  <si>
    <t>314: 1.0503568568786676</t>
  </si>
  <si>
    <t>315: 1.6592496759053</t>
  </si>
  <si>
    <t>316: 1.3515852196006164</t>
  </si>
  <si>
    <t>317: 1.0216208089404046</t>
  </si>
  <si>
    <t>318: 1.1328945643212727</t>
  </si>
  <si>
    <t>319: 1.607453156359404</t>
  </si>
  <si>
    <t>320: 1.0891742158583873</t>
  </si>
  <si>
    <t>321: 0.8391678513698724</t>
  </si>
  <si>
    <t>322: 1.5525118611162443</t>
  </si>
  <si>
    <t>323: 1.5141365887650262</t>
  </si>
  <si>
    <t>324: 1.4774172082042347</t>
  </si>
  <si>
    <t>325: 2.1025643569607655</t>
  </si>
  <si>
    <t>326: 2.6000906910240484</t>
  </si>
  <si>
    <t>327: 2.649511239116661</t>
  </si>
  <si>
    <t>328: 2.8334652042421355</t>
  </si>
  <si>
    <t>329: 3.1268025460078626</t>
  </si>
  <si>
    <t>330: 3.7420450651682735</t>
  </si>
  <si>
    <t>331: 3.8461831846211174</t>
  </si>
  <si>
    <t>332: 4.307546062379993</t>
  </si>
  <si>
    <t>333: 4.329878657791092</t>
  </si>
  <si>
    <t>334: 4.903827288740483</t>
  </si>
  <si>
    <t>335: 5.022454091479811</t>
  </si>
  <si>
    <t>336: 5.382463398615879</t>
  </si>
  <si>
    <t>337: 5.421272890504533</t>
  </si>
  <si>
    <t>338: 4.678443342113898</t>
  </si>
  <si>
    <t>339: 5.019591652588244</t>
  </si>
  <si>
    <t>340: 5.490749313647909</t>
  </si>
  <si>
    <t>341: 5.345833190415635</t>
  </si>
  <si>
    <t>342: 5.092958358980887</t>
  </si>
  <si>
    <t>343: 5.3713803453371245</t>
  </si>
  <si>
    <t>344: 5.343340053388451</t>
  </si>
  <si>
    <t>345: 4.838486286224858</t>
  </si>
  <si>
    <t>346: 4.931990682858907</t>
  </si>
  <si>
    <t>347: 5.050424432253129</t>
  </si>
  <si>
    <t>348: 5.416676702520391</t>
  </si>
  <si>
    <t>349: 6.074128902321865</t>
  </si>
  <si>
    <t>350: 5.855375212156518</t>
  </si>
  <si>
    <t>351: 5.477021171645856</t>
  </si>
  <si>
    <t>352: 7.321095941284324</t>
  </si>
  <si>
    <t>353: 9.685961683401047</t>
  </si>
  <si>
    <t>354: 11.978769730439906</t>
  </si>
  <si>
    <t>355: 15.286220325165477</t>
  </si>
  <si>
    <t>356: 12.71821824740875</t>
  </si>
  <si>
    <t>357: 14.598528346133248</t>
  </si>
  <si>
    <t>358: 14.652785200604779</t>
  </si>
  <si>
    <t>359: 15.813825216867434</t>
  </si>
  <si>
    <t>360: 18.649551323642186</t>
  </si>
  <si>
    <t>361: 20.49349516611769</t>
  </si>
  <si>
    <t>362: 18.854111069330184</t>
  </si>
  <si>
    <t>363: 18.8247552590903</t>
  </si>
  <si>
    <t>364: 16.636163258293834</t>
  </si>
  <si>
    <t>365: 16.131335530246204</t>
  </si>
  <si>
    <t>366: 13.662567553975455</t>
  </si>
  <si>
    <t>367: 13.070590259063348</t>
  </si>
  <si>
    <t>368: 11.651294300398854</t>
  </si>
  <si>
    <t>369: 9.910664093781937</t>
  </si>
  <si>
    <t>370: 7.009034284867899</t>
  </si>
  <si>
    <t>371: 8.441203283172495</t>
  </si>
  <si>
    <t>372: 8.287604124019664</t>
  </si>
  <si>
    <t>373: 10.216421020798256</t>
  </si>
  <si>
    <t>374: 10.775801455523231</t>
  </si>
  <si>
    <t>375: 13.257982256199384</t>
  </si>
  <si>
    <t>376: 14.494399514412079</t>
  </si>
  <si>
    <t>377: 16.50808078287512</t>
  </si>
  <si>
    <t>378: 17.349116223557612</t>
  </si>
  <si>
    <t>379: 19.422475829758618</t>
  </si>
  <si>
    <t>380: 20.199074468580577</t>
  </si>
  <si>
    <t>381: 18.95115480438202</t>
  </si>
  <si>
    <t>382: 19.033980594821834</t>
  </si>
  <si>
    <t>383: 17.11974931821165</t>
  </si>
  <si>
    <t>384: 18.19530376204148</t>
  </si>
  <si>
    <t>385: 17.03127690622444</t>
  </si>
  <si>
    <t>386: 15.01785247731088</t>
  </si>
  <si>
    <t>387: 13.781985359298604</t>
  </si>
  <si>
    <t>388: 11.73817391615453</t>
  </si>
  <si>
    <t>389: 9.633591334392674</t>
  </si>
  <si>
    <t>390: 6.984156234260187</t>
  </si>
  <si>
    <t>391: 8.051760002927868</t>
  </si>
  <si>
    <t>392: 7.8721739164892455</t>
  </si>
  <si>
    <t>393: 9.821410409256183</t>
  </si>
  <si>
    <t>394: 10.002394817378992</t>
  </si>
  <si>
    <t>395: 11.925353454210043</t>
  </si>
  <si>
    <t>396: 12.89472413556835</t>
  </si>
  <si>
    <t>397: 15.0646271770085</t>
  </si>
  <si>
    <t>398: 15.947770200529158</t>
  </si>
  <si>
    <t>399: 18.339151085687323</t>
  </si>
  <si>
    <t>400: 19.70901465907242</t>
  </si>
  <si>
    <t>401: 18.55496117633243</t>
  </si>
  <si>
    <t>402: 18.546754381422264</t>
  </si>
  <si>
    <t>403: 17.018713116140287</t>
  </si>
  <si>
    <t>404: 17.815685945997007</t>
  </si>
  <si>
    <t>405: 17.008687666909232</t>
  </si>
  <si>
    <t>406: 15.24974820303154</t>
  </si>
  <si>
    <t>407: 13.526592375093799</t>
  </si>
  <si>
    <t>408: 11.256105501868777</t>
  </si>
  <si>
    <t>409: 9.285543034836316</t>
  </si>
  <si>
    <t>410: 6.744401510458415</t>
  </si>
  <si>
    <t>411: 7.72299422871807</t>
  </si>
  <si>
    <t>412: 7.15811256507953</t>
  </si>
  <si>
    <t>413: 8.96926476237457</t>
  </si>
  <si>
    <t>414: 8.573229806729636</t>
  </si>
  <si>
    <t>415: 10.781271593494582</t>
  </si>
  <si>
    <t>416: 12.211355982811035</t>
  </si>
  <si>
    <t>417: 14.594463682978462</t>
  </si>
  <si>
    <t>418: 15.436299353068554</t>
  </si>
  <si>
    <t>419: 17.926015954614464</t>
  </si>
  <si>
    <t>420: 19.075727023174327</t>
  </si>
  <si>
    <t>421: 17.54936534278122</t>
  </si>
  <si>
    <t>422: 18.01223689999503</t>
  </si>
  <si>
    <t>423: 16.646489302329513</t>
  </si>
  <si>
    <t>424: 17.778882956035336</t>
  </si>
  <si>
    <t>425: 17.00551581785345</t>
  </si>
  <si>
    <t>426: 15.234374367588998</t>
  </si>
  <si>
    <t>427: 13.211391327231983</t>
  </si>
  <si>
    <t>428: 12.419313393243057</t>
  </si>
  <si>
    <t>429: 11.588620371987956</t>
  </si>
  <si>
    <t>430: 10.995777683143446</t>
  </si>
  <si>
    <t>431: 7.923063458051032</t>
  </si>
  <si>
    <t>432: 8.166494440763021</t>
  </si>
  <si>
    <t>433: 9.48382160265132</t>
  </si>
  <si>
    <t>434: 9.492341515213578</t>
  </si>
  <si>
    <t>435: 9.892609152735686</t>
  </si>
  <si>
    <t>436: 11.616230271594642</t>
  </si>
  <si>
    <t>437: 13.811920575270362</t>
  </si>
  <si>
    <t>438: 14.758164485402183</t>
  </si>
  <si>
    <t>439: 17.126118001264988</t>
  </si>
  <si>
    <t>440: 18.513371028344366</t>
  </si>
  <si>
    <t>441: 17.579733829852206</t>
  </si>
  <si>
    <t>442: 17.961104677125416</t>
  </si>
  <si>
    <t>443: 16.1545948778884</t>
  </si>
  <si>
    <t>444: 17.768825482926008</t>
  </si>
  <si>
    <t>445: 17.330840605164646</t>
  </si>
  <si>
    <t>446: 15.333570806709737</t>
  </si>
  <si>
    <t>447: 14.87420765256554</t>
  </si>
  <si>
    <t>448: 15.560423738380234</t>
  </si>
  <si>
    <t>449: 16.333679280246177</t>
  </si>
  <si>
    <t>450: 12.93278949795513</t>
  </si>
  <si>
    <t>451: 7.212536274973633</t>
  </si>
  <si>
    <t>452: 6.381958134926553</t>
  </si>
  <si>
    <t>453: 4.93187683665972</t>
  </si>
  <si>
    <t>454: 9.090824138740514</t>
  </si>
  <si>
    <t>455: 15.162616267208007</t>
  </si>
  <si>
    <t>456: 16.582727218040127</t>
  </si>
  <si>
    <t>457: 13.052883324900499</t>
  </si>
  <si>
    <t>458: 7.496993294344764</t>
  </si>
  <si>
    <t>459: 8.428921740643458</t>
  </si>
  <si>
    <t>460: 7.255764432373401</t>
  </si>
  <si>
    <t>461: 5.3203524389802</t>
  </si>
  <si>
    <t>462: 5.090841050518633</t>
  </si>
  <si>
    <t>463: 4.972434077839574</t>
  </si>
  <si>
    <t>464: 4.537093511536102</t>
  </si>
  <si>
    <t>465: 3.444056387824085</t>
  </si>
  <si>
    <t>466: 3.1748203165011324</t>
  </si>
  <si>
    <t>467: 3.354342388221901</t>
  </si>
  <si>
    <t>468: 3.63187846050334</t>
  </si>
  <si>
    <t>469: 2.8356266775845382</t>
  </si>
  <si>
    <t>470: 2.892560258880344</t>
  </si>
  <si>
    <t>471: 3.3827848370887916</t>
  </si>
  <si>
    <t>472: 2.506597391884076</t>
  </si>
  <si>
    <t>473: 2.2278931905602013</t>
  </si>
  <si>
    <t>474: 2.830291716957791</t>
  </si>
  <si>
    <t>475: 3.261663101838348</t>
  </si>
  <si>
    <t>476: 4.218443552539899</t>
  </si>
  <si>
    <t>477: 4.420887660571943</t>
  </si>
  <si>
    <t>478: 3.2119528971716558</t>
  </si>
  <si>
    <t>479: 2.961119269696987</t>
  </si>
  <si>
    <t>480: 4.324678183200414</t>
  </si>
  <si>
    <t>481: 3.980336949268104</t>
  </si>
  <si>
    <t>482: 3.3534762244678964</t>
  </si>
  <si>
    <t>483: 3.7270333737000994</t>
  </si>
  <si>
    <t>484: 4.454246879048767</t>
  </si>
  <si>
    <t>485: 4.184433864650455</t>
  </si>
  <si>
    <t>486: 3.754792665461673</t>
  </si>
  <si>
    <t>487: 4.512689980484999</t>
  </si>
  <si>
    <t>488: 4.52085536991002</t>
  </si>
  <si>
    <t>489: 3.789936154225808</t>
  </si>
  <si>
    <t>490: 3.8098874995836094</t>
  </si>
  <si>
    <t>491: 2.9613247384581567</t>
  </si>
  <si>
    <t>492: 2.9532768394894484</t>
  </si>
  <si>
    <t>493: 2.8552282807487135</t>
  </si>
  <si>
    <t>494: 2.8183488886843557</t>
  </si>
  <si>
    <t>495: 2.4776336344126118</t>
  </si>
  <si>
    <t>496: 2.2201756250337534</t>
  </si>
  <si>
    <t>497: 2.3916370071752917</t>
  </si>
  <si>
    <t>498: 2.2283053952767524</t>
  </si>
  <si>
    <t>499: 1.7673413244819576</t>
  </si>
  <si>
    <t>500: 2.409741847316644</t>
  </si>
  <si>
    <t>501: 2.9343787648878954</t>
  </si>
  <si>
    <t>502: 2.716802119302825</t>
  </si>
  <si>
    <t>503: 2.5928686752647434</t>
  </si>
  <si>
    <t>504: 2.732999235857134</t>
  </si>
  <si>
    <t>505: 3.4901014095263654</t>
  </si>
  <si>
    <t>506: 3.2622111053684506</t>
  </si>
  <si>
    <t>507: 3.2639379479606383</t>
  </si>
  <si>
    <t>508: 4.345564625269468</t>
  </si>
  <si>
    <t>509: 4.402197181842762</t>
  </si>
  <si>
    <t>510: 5.842732189148385</t>
  </si>
  <si>
    <t>511: 6.2822105467890985</t>
  </si>
  <si>
    <t>512: 8.361809316795066</t>
  </si>
  <si>
    <t>513: 9.419777447740884</t>
  </si>
  <si>
    <t>514: 10.740644705401182</t>
  </si>
  <si>
    <t>515: 9.734964048944024</t>
  </si>
  <si>
    <t>516: 9.441121829058806</t>
  </si>
  <si>
    <t>517: 8.545287055541568</t>
  </si>
  <si>
    <t>518: 6.897205225351669</t>
  </si>
  <si>
    <t>519: 6.8824304470609965</t>
  </si>
  <si>
    <t>520: 6.626945419980175</t>
  </si>
  <si>
    <t>521: 5.425580814251984</t>
  </si>
  <si>
    <t>522: 4.906197982724689</t>
  </si>
  <si>
    <t>523: 5.050951214042676</t>
  </si>
  <si>
    <t>524: 4.714212264293057</t>
  </si>
  <si>
    <t>525: 3.911235934481087</t>
  </si>
  <si>
    <t>526: 3.6826197802733076</t>
  </si>
  <si>
    <t>527: 3.880209606407423</t>
  </si>
  <si>
    <t>528: 2.8043623776289</t>
  </si>
  <si>
    <t>529: 1.6748388824889715</t>
  </si>
  <si>
    <t>530: 1.9485594476993502</t>
  </si>
  <si>
    <t>531: 1.932179754507954</t>
  </si>
  <si>
    <t>532: 1.953270078769485</t>
  </si>
  <si>
    <t>533: 1.824456829518286</t>
  </si>
  <si>
    <t>534: 1.272839062450864</t>
  </si>
  <si>
    <t>535: 1.2873840381342418</t>
  </si>
  <si>
    <t>536: 1.3693697482458536</t>
  </si>
  <si>
    <t>537: 1.1537908204764036</t>
  </si>
  <si>
    <t>538: 0.9345084143053205</t>
  </si>
  <si>
    <t>539: 1.183827220802815</t>
  </si>
  <si>
    <t>540: 0.46282694830644816</t>
  </si>
  <si>
    <t>541: 0.31446220828310184</t>
  </si>
  <si>
    <t>542: 0.9387873323780955</t>
  </si>
  <si>
    <t>543: 1.1113455611689615</t>
  </si>
  <si>
    <t>544: 1.1349580291961623</t>
  </si>
  <si>
    <t>545: 1.58254450389731</t>
  </si>
  <si>
    <t>546: 1.5425900213589339</t>
  </si>
  <si>
    <t>547: 1.9042399541008546</t>
  </si>
  <si>
    <t>548: 2.037161307545585</t>
  </si>
  <si>
    <t>549: 0.9939107525543461</t>
  </si>
  <si>
    <t>550: 1.0986557300456241</t>
  </si>
  <si>
    <t>551: 1.1789772433247627</t>
  </si>
  <si>
    <t>552: 1.082622601926007</t>
  </si>
  <si>
    <t>553: 0.740005310474455</t>
  </si>
  <si>
    <t>554: 1.1257931284599916</t>
  </si>
  <si>
    <t>555: 0.8684963390775563</t>
  </si>
  <si>
    <t>556: 0.793126032965716</t>
  </si>
  <si>
    <t>557: 0.46276280725781654</t>
  </si>
  <si>
    <t>558: 1.1292484379971837</t>
  </si>
  <si>
    <t>559: 1.657722238097148</t>
  </si>
  <si>
    <t>560: 1.475228852584325</t>
  </si>
  <si>
    <t>561: 1.4840953926031786</t>
  </si>
  <si>
    <t>562: 2.073136726535644</t>
  </si>
  <si>
    <t>563: 2.229906419503893</t>
  </si>
  <si>
    <t>564: 2.2081541233350017</t>
  </si>
  <si>
    <t>565: 2.585146717923803</t>
  </si>
  <si>
    <t>566: 3.039949481917452</t>
  </si>
  <si>
    <t>567: 2.8652277918845437</t>
  </si>
  <si>
    <t>568: 3.6323000831087717</t>
  </si>
  <si>
    <t>569: 4.3159479244438375</t>
  </si>
  <si>
    <t>570: 4.264412825775497</t>
  </si>
  <si>
    <t>571: 4.437798816207711</t>
  </si>
  <si>
    <t>572: 3.7812719583420034</t>
  </si>
  <si>
    <t>573: 5.0069192095830335</t>
  </si>
  <si>
    <t>574: 6.592214829993894</t>
  </si>
  <si>
    <t>575: 6.268237123599355</t>
  </si>
  <si>
    <t>576: 9.805161341864455</t>
  </si>
  <si>
    <t>577: 12.961618212571954</t>
  </si>
  <si>
    <t>578: 10.124235263878811</t>
  </si>
  <si>
    <t>579: 8.557930740964728</t>
  </si>
  <si>
    <t>580: 7.251271284747098</t>
  </si>
  <si>
    <t>581: 7.080054442262481</t>
  </si>
  <si>
    <t>582: 5.31067863118091</t>
  </si>
  <si>
    <t>583: 4.980080323524915</t>
  </si>
  <si>
    <t>584: 5.304295052995024</t>
  </si>
  <si>
    <t>585: 4.7778183611250435</t>
  </si>
  <si>
    <t>586: 3.2264673613404216</t>
  </si>
  <si>
    <t>587: 2.8008659772728084</t>
  </si>
  <si>
    <t>588: 3.0487466527675027</t>
  </si>
  <si>
    <t>589: 2.912335560204182</t>
  </si>
  <si>
    <t>590: 1.747543651195377</t>
  </si>
  <si>
    <t>591: 1.9372273415835295</t>
  </si>
  <si>
    <t>592: 2.4121284328587254</t>
  </si>
  <si>
    <t>593: 2.0823841605695192</t>
  </si>
  <si>
    <t>594: 2.056518525270889</t>
  </si>
  <si>
    <t>595: 2.7831460716623013</t>
  </si>
  <si>
    <t>596: 2.496582030659444</t>
  </si>
  <si>
    <t>597: 2.490459992543628</t>
  </si>
  <si>
    <t>598: 3.682559022461826</t>
  </si>
  <si>
    <t>599: 2.813476904638203</t>
  </si>
  <si>
    <t>600: 2.39844797954472</t>
  </si>
  <si>
    <t>601: 3.4440697283341306</t>
  </si>
  <si>
    <t>602: 3.225026734172706</t>
  </si>
  <si>
    <t>603: 2.6559271801333653</t>
  </si>
  <si>
    <t>604: 3.829192261392956</t>
  </si>
  <si>
    <t>605: 4.3620679965045035</t>
  </si>
  <si>
    <t>606: 2.8624233980259324</t>
  </si>
  <si>
    <t>607: 1.354751688957475</t>
  </si>
  <si>
    <t>608: 0.8398561577500013</t>
  </si>
  <si>
    <t>609: 1.7248804334469587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</si>
</sst>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CD5A-EAF1-A94D-98E8-9270F060E6E4}">
  <dimension ref="A1:Q266"/>
  <sheetViews>
    <sheetView tabSelected="1" workbookViewId="0"/>
  </sheetViews>
  <sheetFormatPr baseColWidth="10" defaultRowHeight="16" x14ac:dyDescent="0.2"/>
  <sheetData>
    <row r="1" spans="1:2" x14ac:dyDescent="0.2">
      <c r="B1" t="s">
        <v>0</v>
      </c>
    </row>
    <row r="2" spans="1:2" x14ac:dyDescent="0.2"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5" spans="1:2" x14ac:dyDescent="0.2">
      <c r="A15" t="s">
        <v>12</v>
      </c>
    </row>
    <row r="17" spans="1:17" x14ac:dyDescent="0.2">
      <c r="A17" t="e" cm="1">
        <f t="array" ref="A17">- POS: The position of The acid in The sequence.</f>
        <v>#NAME?</v>
      </c>
    </row>
    <row r="18" spans="1:17" x14ac:dyDescent="0.2">
      <c r="A18" t="e" cm="1">
        <f t="array" ref="A18">- SEQ: The acid one letter.</f>
        <v>#NAME?</v>
      </c>
    </row>
    <row r="19" spans="1:17" x14ac:dyDescent="0.2">
      <c r="A19" t="s">
        <v>13</v>
      </c>
    </row>
    <row r="20" spans="1:17" x14ac:dyDescent="0.2">
      <c r="A20" t="e" cm="1">
        <f t="array" ref="A20">- SCORE: The normalized conservation scores.</f>
        <v>#NAME?</v>
      </c>
    </row>
    <row r="21" spans="1:17" x14ac:dyDescent="0.2">
      <c r="A21" t="s">
        <v>14</v>
      </c>
    </row>
    <row r="22" spans="1:17" x14ac:dyDescent="0.2">
      <c r="A22" t="s">
        <v>15</v>
      </c>
    </row>
    <row r="23" spans="1:17" x14ac:dyDescent="0.2">
      <c r="A23" t="s">
        <v>16</v>
      </c>
    </row>
    <row r="24" spans="1:17" x14ac:dyDescent="0.2">
      <c r="A24" t="s">
        <v>17</v>
      </c>
    </row>
    <row r="25" spans="1:17" x14ac:dyDescent="0.2">
      <c r="A25" t="s">
        <v>18</v>
      </c>
    </row>
    <row r="26" spans="1:17" x14ac:dyDescent="0.2">
      <c r="A26" t="s">
        <v>19</v>
      </c>
    </row>
    <row r="28" spans="1:17" x14ac:dyDescent="0.2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</row>
    <row r="29" spans="1:17" x14ac:dyDescent="0.2">
      <c r="K29" t="s">
        <v>2190</v>
      </c>
    </row>
    <row r="30" spans="1:17" x14ac:dyDescent="0.2">
      <c r="A30">
        <v>1</v>
      </c>
      <c r="B30" t="s">
        <v>30</v>
      </c>
      <c r="C30" t="s">
        <v>31</v>
      </c>
      <c r="D30">
        <v>-1.0269999999999999</v>
      </c>
      <c r="E30">
        <v>9</v>
      </c>
      <c r="F30" t="s">
        <v>32</v>
      </c>
      <c r="G30" t="s">
        <v>33</v>
      </c>
      <c r="H30" t="s">
        <v>34</v>
      </c>
      <c r="I30" t="s">
        <v>35</v>
      </c>
      <c r="J30" t="s">
        <v>36</v>
      </c>
      <c r="K30" t="s">
        <v>2191</v>
      </c>
      <c r="M30" t="str">
        <f>RIGHT((LEFT(K30,9)),7)</f>
        <v xml:space="preserve"> 13.030</v>
      </c>
      <c r="P30">
        <v>13.03</v>
      </c>
      <c r="Q30">
        <v>9</v>
      </c>
    </row>
    <row r="31" spans="1:17" x14ac:dyDescent="0.2">
      <c r="A31">
        <v>2</v>
      </c>
      <c r="B31" t="s">
        <v>37</v>
      </c>
      <c r="C31" t="s">
        <v>38</v>
      </c>
      <c r="D31">
        <v>0.254</v>
      </c>
      <c r="E31">
        <v>5</v>
      </c>
      <c r="F31" t="s">
        <v>39</v>
      </c>
      <c r="G31" t="s">
        <v>33</v>
      </c>
      <c r="H31" t="s">
        <v>40</v>
      </c>
      <c r="I31" t="s">
        <v>41</v>
      </c>
      <c r="J31" t="s">
        <v>42</v>
      </c>
      <c r="K31" t="s">
        <v>2192</v>
      </c>
      <c r="M31" t="str">
        <f t="shared" ref="M31:M38" si="0">RIGHT((LEFT(K31,9)),7)</f>
        <v xml:space="preserve"> 7.4100</v>
      </c>
      <c r="P31">
        <v>7.41</v>
      </c>
      <c r="Q31">
        <v>5</v>
      </c>
    </row>
    <row r="32" spans="1:17" x14ac:dyDescent="0.2">
      <c r="A32">
        <v>3</v>
      </c>
      <c r="B32" t="s">
        <v>43</v>
      </c>
      <c r="C32" t="s">
        <v>44</v>
      </c>
      <c r="D32">
        <v>0.85599999999999998</v>
      </c>
      <c r="E32">
        <v>4</v>
      </c>
      <c r="F32" t="s">
        <v>45</v>
      </c>
      <c r="G32" t="s">
        <v>33</v>
      </c>
      <c r="H32" t="s">
        <v>40</v>
      </c>
      <c r="I32" t="s">
        <v>46</v>
      </c>
      <c r="J32" t="s">
        <v>47</v>
      </c>
      <c r="K32" t="s">
        <v>2193</v>
      </c>
      <c r="M32" t="str">
        <f t="shared" si="0"/>
        <v xml:space="preserve"> 5.6427</v>
      </c>
      <c r="P32">
        <v>5.6426999999999996</v>
      </c>
      <c r="Q32">
        <v>4</v>
      </c>
    </row>
    <row r="33" spans="1:17" x14ac:dyDescent="0.2">
      <c r="A33">
        <v>4</v>
      </c>
      <c r="B33" t="s">
        <v>43</v>
      </c>
      <c r="C33" t="s">
        <v>48</v>
      </c>
      <c r="D33">
        <v>0.218</v>
      </c>
      <c r="E33">
        <v>5</v>
      </c>
      <c r="F33" t="s">
        <v>49</v>
      </c>
      <c r="G33" t="s">
        <v>33</v>
      </c>
      <c r="H33" t="s">
        <v>40</v>
      </c>
      <c r="I33" t="s">
        <v>50</v>
      </c>
      <c r="J33" t="s">
        <v>51</v>
      </c>
      <c r="K33" t="s">
        <v>2194</v>
      </c>
      <c r="M33" t="str">
        <f t="shared" si="0"/>
        <v xml:space="preserve"> 2.8275</v>
      </c>
      <c r="P33">
        <v>2.8275000000000001</v>
      </c>
      <c r="Q33">
        <v>5</v>
      </c>
    </row>
    <row r="34" spans="1:17" x14ac:dyDescent="0.2">
      <c r="A34">
        <v>5</v>
      </c>
      <c r="B34" t="s">
        <v>52</v>
      </c>
      <c r="C34" t="s">
        <v>53</v>
      </c>
      <c r="D34">
        <v>-1.0640000000000001</v>
      </c>
      <c r="E34">
        <v>9</v>
      </c>
      <c r="F34" t="s">
        <v>54</v>
      </c>
      <c r="G34" t="s">
        <v>33</v>
      </c>
      <c r="H34" t="s">
        <v>34</v>
      </c>
      <c r="I34" t="s">
        <v>55</v>
      </c>
      <c r="J34" t="s">
        <v>56</v>
      </c>
      <c r="K34" t="s">
        <v>2195</v>
      </c>
      <c r="M34" t="str">
        <f t="shared" si="0"/>
        <v xml:space="preserve"> 1.0905</v>
      </c>
      <c r="P34">
        <v>1.0905</v>
      </c>
      <c r="Q34">
        <v>9</v>
      </c>
    </row>
    <row r="35" spans="1:17" x14ac:dyDescent="0.2">
      <c r="A35">
        <v>6</v>
      </c>
      <c r="B35" t="s">
        <v>57</v>
      </c>
      <c r="C35" t="s">
        <v>58</v>
      </c>
      <c r="D35">
        <v>-0.76200000000000001</v>
      </c>
      <c r="E35">
        <v>8</v>
      </c>
      <c r="F35" t="s">
        <v>59</v>
      </c>
      <c r="G35" t="s">
        <v>33</v>
      </c>
      <c r="H35" t="s">
        <v>34</v>
      </c>
      <c r="I35" t="s">
        <v>60</v>
      </c>
      <c r="J35" t="s">
        <v>61</v>
      </c>
      <c r="K35" t="s">
        <v>2196</v>
      </c>
      <c r="M35" t="str">
        <f t="shared" si="0"/>
        <v xml:space="preserve"> 0.5418</v>
      </c>
      <c r="P35">
        <v>0.54179999999999995</v>
      </c>
      <c r="Q35">
        <v>8</v>
      </c>
    </row>
    <row r="36" spans="1:17" x14ac:dyDescent="0.2">
      <c r="A36">
        <v>7</v>
      </c>
      <c r="B36" t="s">
        <v>43</v>
      </c>
      <c r="C36" t="s">
        <v>62</v>
      </c>
      <c r="D36">
        <v>-1.208</v>
      </c>
      <c r="E36">
        <v>9</v>
      </c>
      <c r="F36" t="s">
        <v>63</v>
      </c>
      <c r="G36" t="s">
        <v>64</v>
      </c>
      <c r="H36" t="s">
        <v>65</v>
      </c>
      <c r="I36" t="s">
        <v>66</v>
      </c>
      <c r="J36" t="s">
        <v>67</v>
      </c>
      <c r="K36" t="s">
        <v>2197</v>
      </c>
      <c r="M36" t="str">
        <f t="shared" si="0"/>
        <v xml:space="preserve"> 1.7212</v>
      </c>
      <c r="P36">
        <v>1.7212000000000001</v>
      </c>
      <c r="Q36">
        <v>9</v>
      </c>
    </row>
    <row r="37" spans="1:17" x14ac:dyDescent="0.2">
      <c r="A37">
        <v>8</v>
      </c>
      <c r="B37" t="s">
        <v>52</v>
      </c>
      <c r="C37" t="s">
        <v>68</v>
      </c>
      <c r="D37">
        <v>-1.0229999999999999</v>
      </c>
      <c r="E37">
        <v>9</v>
      </c>
      <c r="F37" t="s">
        <v>69</v>
      </c>
      <c r="G37" t="s">
        <v>64</v>
      </c>
      <c r="H37" t="s">
        <v>65</v>
      </c>
      <c r="I37" t="s">
        <v>66</v>
      </c>
      <c r="J37" t="s">
        <v>70</v>
      </c>
      <c r="K37" t="s">
        <v>2198</v>
      </c>
      <c r="M37" t="str">
        <f t="shared" si="0"/>
        <v xml:space="preserve"> 1.5099</v>
      </c>
      <c r="P37">
        <v>1.5099</v>
      </c>
      <c r="Q37">
        <v>9</v>
      </c>
    </row>
    <row r="38" spans="1:17" x14ac:dyDescent="0.2">
      <c r="A38">
        <v>9</v>
      </c>
      <c r="B38" t="s">
        <v>43</v>
      </c>
      <c r="C38" t="s">
        <v>71</v>
      </c>
      <c r="D38">
        <v>-0.72699999999999998</v>
      </c>
      <c r="E38">
        <v>8</v>
      </c>
      <c r="F38" t="s">
        <v>72</v>
      </c>
      <c r="G38" t="s">
        <v>64</v>
      </c>
      <c r="H38" t="s">
        <v>40</v>
      </c>
      <c r="I38" t="s">
        <v>60</v>
      </c>
      <c r="J38" t="s">
        <v>73</v>
      </c>
      <c r="K38" t="s">
        <v>2199</v>
      </c>
      <c r="M38" t="str">
        <f t="shared" si="0"/>
        <v xml:space="preserve"> 1.5135</v>
      </c>
      <c r="P38">
        <v>1.5135000000000001</v>
      </c>
      <c r="Q38">
        <v>8</v>
      </c>
    </row>
    <row r="39" spans="1:17" x14ac:dyDescent="0.2">
      <c r="A39">
        <v>10</v>
      </c>
      <c r="B39" t="s">
        <v>74</v>
      </c>
      <c r="C39" t="s">
        <v>75</v>
      </c>
      <c r="D39">
        <v>-0.69399999999999995</v>
      </c>
      <c r="E39">
        <v>7</v>
      </c>
      <c r="F39" t="s">
        <v>76</v>
      </c>
      <c r="G39" t="s">
        <v>33</v>
      </c>
      <c r="H39" t="s">
        <v>40</v>
      </c>
      <c r="I39" t="s">
        <v>66</v>
      </c>
      <c r="J39" t="s">
        <v>77</v>
      </c>
      <c r="K39" t="s">
        <v>2200</v>
      </c>
      <c r="M39" t="str">
        <f>RIGHT((LEFT(K39,10)),7)</f>
        <v xml:space="preserve"> 2.1892</v>
      </c>
      <c r="P39">
        <v>2.1892</v>
      </c>
      <c r="Q39">
        <v>7</v>
      </c>
    </row>
    <row r="40" spans="1:17" x14ac:dyDescent="0.2">
      <c r="A40">
        <v>11</v>
      </c>
      <c r="B40" t="s">
        <v>52</v>
      </c>
      <c r="C40" t="s">
        <v>78</v>
      </c>
      <c r="D40">
        <v>-1.0880000000000001</v>
      </c>
      <c r="E40">
        <v>9</v>
      </c>
      <c r="F40" t="s">
        <v>79</v>
      </c>
      <c r="G40" t="s">
        <v>33</v>
      </c>
      <c r="H40" t="s">
        <v>34</v>
      </c>
      <c r="I40" t="s">
        <v>80</v>
      </c>
      <c r="J40" t="s">
        <v>81</v>
      </c>
      <c r="K40" t="s">
        <v>2201</v>
      </c>
      <c r="M40" t="str">
        <f t="shared" ref="M40:M103" si="1">RIGHT((LEFT(K40,10)),7)</f>
        <v xml:space="preserve"> 5.6432</v>
      </c>
      <c r="P40">
        <v>5.6432000000000002</v>
      </c>
      <c r="Q40">
        <v>9</v>
      </c>
    </row>
    <row r="41" spans="1:17" x14ac:dyDescent="0.2">
      <c r="A41">
        <v>12</v>
      </c>
      <c r="B41" t="s">
        <v>43</v>
      </c>
      <c r="C41" t="s">
        <v>82</v>
      </c>
      <c r="D41">
        <v>-0.99399999999999999</v>
      </c>
      <c r="E41">
        <v>8</v>
      </c>
      <c r="F41" t="s">
        <v>83</v>
      </c>
      <c r="G41" t="s">
        <v>33</v>
      </c>
      <c r="H41" t="s">
        <v>34</v>
      </c>
      <c r="I41" t="s">
        <v>84</v>
      </c>
      <c r="J41" t="s">
        <v>85</v>
      </c>
      <c r="K41" t="s">
        <v>2202</v>
      </c>
      <c r="M41" t="str">
        <f t="shared" si="1"/>
        <v xml:space="preserve"> 7.1621</v>
      </c>
      <c r="P41">
        <v>7.1620999999999997</v>
      </c>
      <c r="Q41">
        <v>8</v>
      </c>
    </row>
    <row r="42" spans="1:17" x14ac:dyDescent="0.2">
      <c r="A42">
        <v>13</v>
      </c>
      <c r="B42" t="s">
        <v>43</v>
      </c>
      <c r="C42" t="s">
        <v>86</v>
      </c>
      <c r="D42">
        <v>1.9E-2</v>
      </c>
      <c r="E42">
        <v>5</v>
      </c>
      <c r="F42" t="s">
        <v>87</v>
      </c>
      <c r="G42" t="s">
        <v>33</v>
      </c>
      <c r="H42" t="s">
        <v>40</v>
      </c>
      <c r="I42" t="s">
        <v>88</v>
      </c>
      <c r="J42" t="s">
        <v>89</v>
      </c>
      <c r="K42" t="s">
        <v>2203</v>
      </c>
      <c r="M42" t="str">
        <f t="shared" si="1"/>
        <v xml:space="preserve"> 7.0207</v>
      </c>
      <c r="P42">
        <v>7.0206999999999997</v>
      </c>
      <c r="Q42">
        <v>5</v>
      </c>
    </row>
    <row r="43" spans="1:17" x14ac:dyDescent="0.2">
      <c r="A43">
        <v>14</v>
      </c>
      <c r="B43" t="s">
        <v>52</v>
      </c>
      <c r="C43" t="s">
        <v>90</v>
      </c>
      <c r="D43">
        <v>0.27500000000000002</v>
      </c>
      <c r="E43">
        <v>5</v>
      </c>
      <c r="F43" t="s">
        <v>91</v>
      </c>
      <c r="G43" t="s">
        <v>33</v>
      </c>
      <c r="H43" t="s">
        <v>40</v>
      </c>
      <c r="I43" t="s">
        <v>92</v>
      </c>
      <c r="J43" t="s">
        <v>93</v>
      </c>
      <c r="K43" t="s">
        <v>2204</v>
      </c>
      <c r="M43" t="str">
        <f t="shared" si="1"/>
        <v xml:space="preserve"> 6.1205</v>
      </c>
      <c r="P43">
        <v>6.1204999999999998</v>
      </c>
      <c r="Q43">
        <v>5</v>
      </c>
    </row>
    <row r="44" spans="1:17" x14ac:dyDescent="0.2">
      <c r="A44">
        <v>15</v>
      </c>
      <c r="B44" t="s">
        <v>94</v>
      </c>
      <c r="C44" t="s">
        <v>95</v>
      </c>
      <c r="D44">
        <v>-0.752</v>
      </c>
      <c r="E44">
        <v>8</v>
      </c>
      <c r="F44" t="s">
        <v>59</v>
      </c>
      <c r="G44" t="s">
        <v>64</v>
      </c>
      <c r="H44" t="s">
        <v>40</v>
      </c>
      <c r="I44" t="s">
        <v>92</v>
      </c>
      <c r="J44" t="s">
        <v>96</v>
      </c>
      <c r="K44" t="s">
        <v>2205</v>
      </c>
      <c r="M44" t="str">
        <f t="shared" si="1"/>
        <v xml:space="preserve"> 5.4457</v>
      </c>
      <c r="P44">
        <v>5.4457000000000004</v>
      </c>
      <c r="Q44">
        <v>8</v>
      </c>
    </row>
    <row r="45" spans="1:17" x14ac:dyDescent="0.2">
      <c r="A45">
        <v>16</v>
      </c>
      <c r="B45" t="s">
        <v>97</v>
      </c>
      <c r="C45" t="s">
        <v>98</v>
      </c>
      <c r="D45">
        <v>-1.016</v>
      </c>
      <c r="E45">
        <v>9</v>
      </c>
      <c r="F45" t="s">
        <v>99</v>
      </c>
      <c r="G45" t="s">
        <v>33</v>
      </c>
      <c r="H45" t="s">
        <v>34</v>
      </c>
      <c r="I45" t="s">
        <v>88</v>
      </c>
      <c r="J45" t="s">
        <v>100</v>
      </c>
      <c r="K45" t="s">
        <v>2206</v>
      </c>
      <c r="M45" t="str">
        <f t="shared" si="1"/>
        <v xml:space="preserve"> 5.0723</v>
      </c>
      <c r="P45">
        <v>5.0723000000000003</v>
      </c>
      <c r="Q45">
        <v>9</v>
      </c>
    </row>
    <row r="46" spans="1:17" x14ac:dyDescent="0.2">
      <c r="A46">
        <v>17</v>
      </c>
      <c r="B46" t="s">
        <v>101</v>
      </c>
      <c r="C46" t="s">
        <v>102</v>
      </c>
      <c r="D46">
        <v>4.2000000000000003E-2</v>
      </c>
      <c r="E46">
        <v>5</v>
      </c>
      <c r="F46" t="s">
        <v>87</v>
      </c>
      <c r="G46" t="s">
        <v>64</v>
      </c>
      <c r="H46" t="s">
        <v>40</v>
      </c>
      <c r="I46" t="s">
        <v>92</v>
      </c>
      <c r="J46" t="s">
        <v>103</v>
      </c>
      <c r="K46" t="s">
        <v>2207</v>
      </c>
      <c r="M46" t="str">
        <f t="shared" si="1"/>
        <v xml:space="preserve"> 5.8547</v>
      </c>
      <c r="P46">
        <v>5.8547000000000002</v>
      </c>
      <c r="Q46">
        <v>5</v>
      </c>
    </row>
    <row r="47" spans="1:17" x14ac:dyDescent="0.2">
      <c r="A47">
        <v>18</v>
      </c>
      <c r="B47" t="s">
        <v>57</v>
      </c>
      <c r="C47" t="s">
        <v>104</v>
      </c>
      <c r="D47">
        <v>2.9129999999999998</v>
      </c>
      <c r="E47">
        <v>1</v>
      </c>
      <c r="F47" t="s">
        <v>105</v>
      </c>
      <c r="G47" t="s">
        <v>64</v>
      </c>
      <c r="H47" t="s">
        <v>40</v>
      </c>
      <c r="I47" t="s">
        <v>106</v>
      </c>
      <c r="J47" t="s">
        <v>107</v>
      </c>
      <c r="K47" t="s">
        <v>2208</v>
      </c>
      <c r="M47" t="str">
        <f t="shared" si="1"/>
        <v xml:space="preserve"> 3.9459</v>
      </c>
      <c r="P47">
        <v>3.9459</v>
      </c>
      <c r="Q47">
        <v>1</v>
      </c>
    </row>
    <row r="48" spans="1:17" x14ac:dyDescent="0.2">
      <c r="A48">
        <v>19</v>
      </c>
      <c r="B48" t="s">
        <v>108</v>
      </c>
      <c r="C48" t="s">
        <v>109</v>
      </c>
      <c r="D48">
        <v>0.59</v>
      </c>
      <c r="E48">
        <v>4</v>
      </c>
      <c r="F48" t="s">
        <v>110</v>
      </c>
      <c r="G48" t="s">
        <v>33</v>
      </c>
      <c r="H48" t="s">
        <v>40</v>
      </c>
      <c r="I48" t="s">
        <v>111</v>
      </c>
      <c r="J48" t="s">
        <v>112</v>
      </c>
      <c r="K48" t="s">
        <v>2209</v>
      </c>
      <c r="M48" t="str">
        <f t="shared" si="1"/>
        <v xml:space="preserve"> 3.9342</v>
      </c>
      <c r="P48">
        <v>3.9342000000000001</v>
      </c>
      <c r="Q48">
        <v>4</v>
      </c>
    </row>
    <row r="49" spans="1:17" x14ac:dyDescent="0.2">
      <c r="A49">
        <v>20</v>
      </c>
      <c r="B49" t="s">
        <v>113</v>
      </c>
      <c r="C49" t="s">
        <v>114</v>
      </c>
      <c r="D49">
        <v>-0.58899999999999997</v>
      </c>
      <c r="E49">
        <v>7</v>
      </c>
      <c r="F49" t="s">
        <v>115</v>
      </c>
      <c r="G49" t="s">
        <v>64</v>
      </c>
      <c r="H49" t="s">
        <v>40</v>
      </c>
      <c r="I49" t="s">
        <v>116</v>
      </c>
      <c r="J49" t="s">
        <v>117</v>
      </c>
      <c r="K49" t="s">
        <v>2210</v>
      </c>
      <c r="M49" t="str">
        <f t="shared" si="1"/>
        <v xml:space="preserve"> 6.0801</v>
      </c>
      <c r="P49">
        <v>6.0800999999999998</v>
      </c>
      <c r="Q49">
        <v>7</v>
      </c>
    </row>
    <row r="50" spans="1:17" x14ac:dyDescent="0.2">
      <c r="A50">
        <v>21</v>
      </c>
      <c r="B50" t="s">
        <v>118</v>
      </c>
      <c r="C50" t="s">
        <v>119</v>
      </c>
      <c r="D50">
        <v>1.41</v>
      </c>
      <c r="E50">
        <v>3</v>
      </c>
      <c r="F50" t="s">
        <v>120</v>
      </c>
      <c r="G50" t="s">
        <v>64</v>
      </c>
      <c r="H50" t="s">
        <v>40</v>
      </c>
      <c r="I50" t="s">
        <v>121</v>
      </c>
      <c r="J50" t="s">
        <v>122</v>
      </c>
      <c r="K50" t="s">
        <v>2211</v>
      </c>
      <c r="M50" t="str">
        <f t="shared" si="1"/>
        <v xml:space="preserve"> 4.8739</v>
      </c>
      <c r="P50">
        <v>4.8738999999999999</v>
      </c>
      <c r="Q50">
        <v>3</v>
      </c>
    </row>
    <row r="51" spans="1:17" x14ac:dyDescent="0.2">
      <c r="A51">
        <v>22</v>
      </c>
      <c r="B51" t="s">
        <v>123</v>
      </c>
      <c r="C51" t="s">
        <v>124</v>
      </c>
      <c r="D51">
        <v>-4.1000000000000002E-2</v>
      </c>
      <c r="E51">
        <v>5</v>
      </c>
      <c r="F51" t="s">
        <v>125</v>
      </c>
      <c r="G51" t="s">
        <v>33</v>
      </c>
      <c r="H51" t="s">
        <v>40</v>
      </c>
      <c r="I51" t="s">
        <v>121</v>
      </c>
      <c r="J51" t="s">
        <v>126</v>
      </c>
      <c r="K51" t="s">
        <v>2212</v>
      </c>
      <c r="M51" t="str">
        <f t="shared" si="1"/>
        <v xml:space="preserve"> 3.6181</v>
      </c>
      <c r="P51">
        <v>3.6181000000000001</v>
      </c>
      <c r="Q51">
        <v>5</v>
      </c>
    </row>
    <row r="52" spans="1:17" x14ac:dyDescent="0.2">
      <c r="A52">
        <v>23</v>
      </c>
      <c r="B52" t="s">
        <v>127</v>
      </c>
      <c r="C52" t="s">
        <v>128</v>
      </c>
      <c r="D52">
        <v>-0.42899999999999999</v>
      </c>
      <c r="E52">
        <v>7</v>
      </c>
      <c r="F52" t="s">
        <v>129</v>
      </c>
      <c r="G52" t="s">
        <v>33</v>
      </c>
      <c r="H52" t="s">
        <v>40</v>
      </c>
      <c r="I52" t="s">
        <v>121</v>
      </c>
      <c r="J52" t="s">
        <v>130</v>
      </c>
      <c r="K52" t="s">
        <v>2213</v>
      </c>
      <c r="M52" t="str">
        <f t="shared" si="1"/>
        <v xml:space="preserve"> 2.8539</v>
      </c>
      <c r="P52">
        <v>2.8538999999999999</v>
      </c>
      <c r="Q52">
        <v>7</v>
      </c>
    </row>
    <row r="53" spans="1:17" x14ac:dyDescent="0.2">
      <c r="A53">
        <v>24</v>
      </c>
      <c r="B53" t="s">
        <v>101</v>
      </c>
      <c r="C53" t="s">
        <v>131</v>
      </c>
      <c r="D53">
        <v>-1.073</v>
      </c>
      <c r="E53">
        <v>9</v>
      </c>
      <c r="F53" t="s">
        <v>132</v>
      </c>
      <c r="G53" t="s">
        <v>33</v>
      </c>
      <c r="H53" t="s">
        <v>34</v>
      </c>
      <c r="I53" t="s">
        <v>133</v>
      </c>
      <c r="J53" t="s">
        <v>134</v>
      </c>
      <c r="K53" t="s">
        <v>2214</v>
      </c>
      <c r="M53" t="str">
        <f t="shared" si="1"/>
        <v xml:space="preserve"> 1.0594</v>
      </c>
      <c r="P53">
        <v>1.0593999999999999</v>
      </c>
      <c r="Q53">
        <v>9</v>
      </c>
    </row>
    <row r="54" spans="1:17" x14ac:dyDescent="0.2">
      <c r="A54">
        <v>25</v>
      </c>
      <c r="B54" t="s">
        <v>135</v>
      </c>
      <c r="C54" t="s">
        <v>136</v>
      </c>
      <c r="D54">
        <v>-0.20200000000000001</v>
      </c>
      <c r="E54">
        <v>6</v>
      </c>
      <c r="F54" t="s">
        <v>137</v>
      </c>
      <c r="G54" t="s">
        <v>33</v>
      </c>
      <c r="H54" t="s">
        <v>40</v>
      </c>
      <c r="I54" t="s">
        <v>133</v>
      </c>
      <c r="J54" t="s">
        <v>138</v>
      </c>
      <c r="K54" t="s">
        <v>2215</v>
      </c>
      <c r="M54" t="str">
        <f t="shared" si="1"/>
        <v xml:space="preserve"> 2.2030</v>
      </c>
      <c r="P54">
        <v>2.2029999999999998</v>
      </c>
      <c r="Q54">
        <v>6</v>
      </c>
    </row>
    <row r="55" spans="1:17" x14ac:dyDescent="0.2">
      <c r="A55">
        <v>26</v>
      </c>
      <c r="B55" t="s">
        <v>108</v>
      </c>
      <c r="C55" t="s">
        <v>139</v>
      </c>
      <c r="D55">
        <v>-0.81899999999999995</v>
      </c>
      <c r="E55">
        <v>8</v>
      </c>
      <c r="F55" t="s">
        <v>140</v>
      </c>
      <c r="G55" t="s">
        <v>64</v>
      </c>
      <c r="H55" t="s">
        <v>40</v>
      </c>
      <c r="I55" t="s">
        <v>121</v>
      </c>
      <c r="J55" t="s">
        <v>141</v>
      </c>
      <c r="K55" t="s">
        <v>2216</v>
      </c>
      <c r="M55" t="str">
        <f t="shared" si="1"/>
        <v xml:space="preserve"> 2.0631</v>
      </c>
      <c r="P55">
        <v>2.0630999999999999</v>
      </c>
      <c r="Q55">
        <v>8</v>
      </c>
    </row>
    <row r="56" spans="1:17" x14ac:dyDescent="0.2">
      <c r="A56">
        <v>27</v>
      </c>
      <c r="B56" t="s">
        <v>142</v>
      </c>
      <c r="C56" t="s">
        <v>143</v>
      </c>
      <c r="D56">
        <v>-0.19900000000000001</v>
      </c>
      <c r="E56">
        <v>6</v>
      </c>
      <c r="F56" t="s">
        <v>137</v>
      </c>
      <c r="G56" t="s">
        <v>64</v>
      </c>
      <c r="H56" t="s">
        <v>40</v>
      </c>
      <c r="I56" t="s">
        <v>133</v>
      </c>
      <c r="J56" t="s">
        <v>144</v>
      </c>
      <c r="K56" t="s">
        <v>2217</v>
      </c>
      <c r="M56" t="str">
        <f t="shared" si="1"/>
        <v xml:space="preserve"> 1.4821</v>
      </c>
      <c r="P56">
        <v>1.4821</v>
      </c>
      <c r="Q56">
        <v>6</v>
      </c>
    </row>
    <row r="57" spans="1:17" x14ac:dyDescent="0.2">
      <c r="A57">
        <v>28</v>
      </c>
      <c r="B57" t="s">
        <v>113</v>
      </c>
      <c r="C57" t="s">
        <v>145</v>
      </c>
      <c r="D57">
        <v>0.496</v>
      </c>
      <c r="E57">
        <v>4</v>
      </c>
      <c r="F57" t="s">
        <v>146</v>
      </c>
      <c r="G57" t="s">
        <v>64</v>
      </c>
      <c r="H57" t="s">
        <v>40</v>
      </c>
      <c r="I57" t="s">
        <v>147</v>
      </c>
      <c r="J57" t="s">
        <v>148</v>
      </c>
      <c r="K57" t="s">
        <v>2218</v>
      </c>
      <c r="M57" t="str">
        <f t="shared" si="1"/>
        <v xml:space="preserve"> 0.8693</v>
      </c>
      <c r="P57">
        <v>0.86929999999999996</v>
      </c>
      <c r="Q57">
        <v>4</v>
      </c>
    </row>
    <row r="58" spans="1:17" x14ac:dyDescent="0.2">
      <c r="A58">
        <v>29</v>
      </c>
      <c r="B58" t="s">
        <v>123</v>
      </c>
      <c r="C58" t="s">
        <v>149</v>
      </c>
      <c r="D58">
        <v>-1.038</v>
      </c>
      <c r="E58">
        <v>9</v>
      </c>
      <c r="F58" t="s">
        <v>69</v>
      </c>
      <c r="G58" t="s">
        <v>33</v>
      </c>
      <c r="H58" t="s">
        <v>34</v>
      </c>
      <c r="I58" t="s">
        <v>147</v>
      </c>
      <c r="J58" t="s">
        <v>150</v>
      </c>
      <c r="K58" t="s">
        <v>2219</v>
      </c>
      <c r="M58" t="str">
        <f t="shared" si="1"/>
        <v xml:space="preserve"> 0.8374</v>
      </c>
      <c r="P58">
        <v>0.83740000000000003</v>
      </c>
      <c r="Q58">
        <v>9</v>
      </c>
    </row>
    <row r="59" spans="1:17" x14ac:dyDescent="0.2">
      <c r="A59">
        <v>30</v>
      </c>
      <c r="B59" t="s">
        <v>118</v>
      </c>
      <c r="C59" t="s">
        <v>151</v>
      </c>
      <c r="D59">
        <v>1.4810000000000001</v>
      </c>
      <c r="E59">
        <v>3</v>
      </c>
      <c r="F59" t="s">
        <v>120</v>
      </c>
      <c r="G59" t="s">
        <v>64</v>
      </c>
      <c r="H59" t="s">
        <v>40</v>
      </c>
      <c r="I59" t="s">
        <v>147</v>
      </c>
      <c r="J59" t="s">
        <v>152</v>
      </c>
      <c r="K59" t="s">
        <v>2220</v>
      </c>
      <c r="M59" t="str">
        <f t="shared" si="1"/>
        <v xml:space="preserve"> 0.7163</v>
      </c>
      <c r="P59">
        <v>0.71630000000000005</v>
      </c>
      <c r="Q59">
        <v>3</v>
      </c>
    </row>
    <row r="60" spans="1:17" x14ac:dyDescent="0.2">
      <c r="A60">
        <v>31</v>
      </c>
      <c r="B60" t="s">
        <v>118</v>
      </c>
      <c r="C60" t="s">
        <v>153</v>
      </c>
      <c r="D60">
        <v>0.78</v>
      </c>
      <c r="E60">
        <v>4</v>
      </c>
      <c r="F60" t="s">
        <v>45</v>
      </c>
      <c r="G60" t="s">
        <v>64</v>
      </c>
      <c r="H60" t="s">
        <v>40</v>
      </c>
      <c r="I60" t="s">
        <v>154</v>
      </c>
      <c r="J60" t="s">
        <v>155</v>
      </c>
      <c r="K60" t="s">
        <v>2221</v>
      </c>
      <c r="M60" t="str">
        <f t="shared" si="1"/>
        <v xml:space="preserve"> 0.8121</v>
      </c>
      <c r="P60">
        <v>0.81210000000000004</v>
      </c>
      <c r="Q60">
        <v>4</v>
      </c>
    </row>
    <row r="61" spans="1:17" x14ac:dyDescent="0.2">
      <c r="A61">
        <v>32</v>
      </c>
      <c r="B61" t="s">
        <v>156</v>
      </c>
      <c r="C61" t="s">
        <v>157</v>
      </c>
      <c r="D61">
        <v>3.4000000000000002E-2</v>
      </c>
      <c r="E61">
        <v>5</v>
      </c>
      <c r="F61" t="s">
        <v>87</v>
      </c>
      <c r="G61" t="s">
        <v>64</v>
      </c>
      <c r="H61" t="s">
        <v>40</v>
      </c>
      <c r="I61" t="s">
        <v>158</v>
      </c>
      <c r="J61" t="s">
        <v>159</v>
      </c>
      <c r="K61" t="s">
        <v>2222</v>
      </c>
      <c r="M61" t="str">
        <f t="shared" si="1"/>
        <v xml:space="preserve"> 0.7393</v>
      </c>
      <c r="P61">
        <v>0.73929999999999996</v>
      </c>
      <c r="Q61">
        <v>5</v>
      </c>
    </row>
    <row r="62" spans="1:17" x14ac:dyDescent="0.2">
      <c r="A62">
        <v>33</v>
      </c>
      <c r="B62" t="s">
        <v>160</v>
      </c>
      <c r="C62" t="s">
        <v>161</v>
      </c>
      <c r="D62">
        <v>2.7440000000000002</v>
      </c>
      <c r="E62">
        <v>1</v>
      </c>
      <c r="F62" t="s">
        <v>105</v>
      </c>
      <c r="G62" t="s">
        <v>64</v>
      </c>
      <c r="H62" t="s">
        <v>40</v>
      </c>
      <c r="I62" t="s">
        <v>162</v>
      </c>
      <c r="J62" t="s">
        <v>163</v>
      </c>
      <c r="K62" t="s">
        <v>2223</v>
      </c>
      <c r="M62" t="str">
        <f t="shared" si="1"/>
        <v xml:space="preserve"> 0.7352</v>
      </c>
      <c r="P62">
        <v>0.73519999999999996</v>
      </c>
      <c r="Q62">
        <v>1</v>
      </c>
    </row>
    <row r="63" spans="1:17" x14ac:dyDescent="0.2">
      <c r="A63">
        <v>34</v>
      </c>
      <c r="B63" t="s">
        <v>113</v>
      </c>
      <c r="C63" t="s">
        <v>164</v>
      </c>
      <c r="D63">
        <v>4.3999999999999997E-2</v>
      </c>
      <c r="E63">
        <v>5</v>
      </c>
      <c r="F63" t="s">
        <v>87</v>
      </c>
      <c r="G63" t="s">
        <v>64</v>
      </c>
      <c r="H63" t="s">
        <v>40</v>
      </c>
      <c r="I63" t="s">
        <v>165</v>
      </c>
      <c r="J63" t="s">
        <v>166</v>
      </c>
      <c r="K63" t="s">
        <v>2224</v>
      </c>
      <c r="M63" t="str">
        <f t="shared" si="1"/>
        <v xml:space="preserve"> 0.8607</v>
      </c>
      <c r="P63">
        <v>0.86070000000000002</v>
      </c>
      <c r="Q63">
        <v>5</v>
      </c>
    </row>
    <row r="64" spans="1:17" x14ac:dyDescent="0.2">
      <c r="A64">
        <v>35</v>
      </c>
      <c r="B64" t="s">
        <v>94</v>
      </c>
      <c r="C64" t="s">
        <v>167</v>
      </c>
      <c r="D64">
        <v>-1.0549999999999999</v>
      </c>
      <c r="E64">
        <v>9</v>
      </c>
      <c r="F64" t="s">
        <v>132</v>
      </c>
      <c r="G64" t="s">
        <v>64</v>
      </c>
      <c r="H64" t="s">
        <v>65</v>
      </c>
      <c r="I64" t="s">
        <v>165</v>
      </c>
      <c r="J64" t="s">
        <v>168</v>
      </c>
      <c r="K64" t="s">
        <v>2225</v>
      </c>
      <c r="M64" t="str">
        <f t="shared" si="1"/>
        <v xml:space="preserve"> 0.6321</v>
      </c>
      <c r="P64">
        <v>0.6321</v>
      </c>
      <c r="Q64">
        <v>9</v>
      </c>
    </row>
    <row r="65" spans="1:17" x14ac:dyDescent="0.2">
      <c r="A65">
        <v>36</v>
      </c>
      <c r="B65" t="s">
        <v>156</v>
      </c>
      <c r="C65" t="s">
        <v>169</v>
      </c>
      <c r="D65">
        <v>-0.56499999999999995</v>
      </c>
      <c r="E65">
        <v>7</v>
      </c>
      <c r="F65" t="s">
        <v>170</v>
      </c>
      <c r="G65" t="s">
        <v>64</v>
      </c>
      <c r="H65" t="s">
        <v>40</v>
      </c>
      <c r="I65" t="s">
        <v>165</v>
      </c>
      <c r="J65" t="s">
        <v>171</v>
      </c>
      <c r="K65" t="s">
        <v>2226</v>
      </c>
      <c r="M65" t="str">
        <f t="shared" si="1"/>
        <v xml:space="preserve"> 1.2558</v>
      </c>
      <c r="P65">
        <v>1.2558</v>
      </c>
      <c r="Q65">
        <v>7</v>
      </c>
    </row>
    <row r="66" spans="1:17" x14ac:dyDescent="0.2">
      <c r="A66">
        <v>37</v>
      </c>
      <c r="B66" t="s">
        <v>142</v>
      </c>
      <c r="C66" t="s">
        <v>172</v>
      </c>
      <c r="D66">
        <v>-0.60299999999999998</v>
      </c>
      <c r="E66">
        <v>7</v>
      </c>
      <c r="F66" t="s">
        <v>173</v>
      </c>
      <c r="G66" t="s">
        <v>64</v>
      </c>
      <c r="H66" t="s">
        <v>40</v>
      </c>
      <c r="I66" t="s">
        <v>165</v>
      </c>
      <c r="J66" t="s">
        <v>174</v>
      </c>
      <c r="K66" t="s">
        <v>2227</v>
      </c>
      <c r="M66" t="str">
        <f t="shared" si="1"/>
        <v xml:space="preserve"> 1.4402</v>
      </c>
      <c r="P66">
        <v>1.4401999999999999</v>
      </c>
      <c r="Q66">
        <v>7</v>
      </c>
    </row>
    <row r="67" spans="1:17" x14ac:dyDescent="0.2">
      <c r="A67">
        <v>38</v>
      </c>
      <c r="B67" t="s">
        <v>118</v>
      </c>
      <c r="C67" t="s">
        <v>175</v>
      </c>
      <c r="D67">
        <v>-1.014</v>
      </c>
      <c r="E67">
        <v>9</v>
      </c>
      <c r="F67" t="s">
        <v>99</v>
      </c>
      <c r="G67" t="s">
        <v>64</v>
      </c>
      <c r="H67" t="s">
        <v>65</v>
      </c>
      <c r="I67" t="s">
        <v>165</v>
      </c>
      <c r="J67" t="s">
        <v>176</v>
      </c>
      <c r="K67" t="s">
        <v>2228</v>
      </c>
      <c r="M67" t="str">
        <f t="shared" si="1"/>
        <v xml:space="preserve"> 0.9802</v>
      </c>
      <c r="P67">
        <v>0.98019999999999996</v>
      </c>
      <c r="Q67">
        <v>9</v>
      </c>
    </row>
    <row r="68" spans="1:17" x14ac:dyDescent="0.2">
      <c r="A68">
        <v>39</v>
      </c>
      <c r="B68" t="s">
        <v>118</v>
      </c>
      <c r="C68" t="s">
        <v>177</v>
      </c>
      <c r="D68">
        <v>-1.165</v>
      </c>
      <c r="E68">
        <v>9</v>
      </c>
      <c r="F68" t="s">
        <v>178</v>
      </c>
      <c r="G68" t="s">
        <v>64</v>
      </c>
      <c r="H68" t="s">
        <v>65</v>
      </c>
      <c r="I68" t="s">
        <v>165</v>
      </c>
      <c r="J68" t="s">
        <v>179</v>
      </c>
      <c r="K68" t="s">
        <v>2229</v>
      </c>
      <c r="M68" t="str">
        <f t="shared" si="1"/>
        <v xml:space="preserve"> 0.4522</v>
      </c>
      <c r="P68">
        <v>0.45219999999999999</v>
      </c>
      <c r="Q68">
        <v>9</v>
      </c>
    </row>
    <row r="69" spans="1:17" x14ac:dyDescent="0.2">
      <c r="A69">
        <v>40</v>
      </c>
      <c r="B69" t="s">
        <v>94</v>
      </c>
      <c r="C69" t="s">
        <v>180</v>
      </c>
      <c r="D69">
        <v>-0.94599999999999995</v>
      </c>
      <c r="E69">
        <v>8</v>
      </c>
      <c r="F69" t="s">
        <v>181</v>
      </c>
      <c r="G69" t="s">
        <v>64</v>
      </c>
      <c r="H69" t="s">
        <v>40</v>
      </c>
      <c r="I69" t="s">
        <v>165</v>
      </c>
      <c r="J69" t="s">
        <v>182</v>
      </c>
      <c r="K69" t="s">
        <v>2230</v>
      </c>
      <c r="M69" t="str">
        <f t="shared" si="1"/>
        <v xml:space="preserve"> 0.6279</v>
      </c>
      <c r="P69">
        <v>0.62790000000000001</v>
      </c>
      <c r="Q69">
        <v>8</v>
      </c>
    </row>
    <row r="70" spans="1:17" x14ac:dyDescent="0.2">
      <c r="A70">
        <v>41</v>
      </c>
      <c r="B70" t="s">
        <v>43</v>
      </c>
      <c r="C70" t="s">
        <v>183</v>
      </c>
      <c r="D70">
        <v>-0.57999999999999996</v>
      </c>
      <c r="E70">
        <v>7</v>
      </c>
      <c r="F70" t="s">
        <v>184</v>
      </c>
      <c r="G70" t="s">
        <v>64</v>
      </c>
      <c r="H70" t="s">
        <v>40</v>
      </c>
      <c r="I70" t="s">
        <v>165</v>
      </c>
      <c r="J70" t="s">
        <v>185</v>
      </c>
      <c r="K70" t="s">
        <v>2231</v>
      </c>
      <c r="M70" t="str">
        <f t="shared" si="1"/>
        <v xml:space="preserve"> 0.6346</v>
      </c>
      <c r="P70">
        <v>0.63460000000000005</v>
      </c>
      <c r="Q70">
        <v>7</v>
      </c>
    </row>
    <row r="71" spans="1:17" x14ac:dyDescent="0.2">
      <c r="A71">
        <v>42</v>
      </c>
      <c r="B71" t="s">
        <v>156</v>
      </c>
      <c r="C71" t="s">
        <v>186</v>
      </c>
      <c r="D71">
        <v>-0.55000000000000004</v>
      </c>
      <c r="E71">
        <v>7</v>
      </c>
      <c r="F71" t="s">
        <v>184</v>
      </c>
      <c r="G71" t="s">
        <v>64</v>
      </c>
      <c r="H71" t="s">
        <v>40</v>
      </c>
      <c r="I71" t="s">
        <v>165</v>
      </c>
      <c r="J71" t="s">
        <v>187</v>
      </c>
      <c r="K71" t="s">
        <v>2232</v>
      </c>
      <c r="M71" t="str">
        <f t="shared" si="1"/>
        <v xml:space="preserve"> 1.0927</v>
      </c>
      <c r="P71">
        <v>1.0927</v>
      </c>
      <c r="Q71">
        <v>7</v>
      </c>
    </row>
    <row r="72" spans="1:17" x14ac:dyDescent="0.2">
      <c r="A72">
        <v>43</v>
      </c>
      <c r="B72" t="s">
        <v>142</v>
      </c>
      <c r="C72" t="s">
        <v>188</v>
      </c>
      <c r="D72">
        <v>-1.129</v>
      </c>
      <c r="E72">
        <v>9</v>
      </c>
      <c r="F72" t="s">
        <v>189</v>
      </c>
      <c r="G72" t="s">
        <v>64</v>
      </c>
      <c r="H72" t="s">
        <v>65</v>
      </c>
      <c r="I72" t="s">
        <v>165</v>
      </c>
      <c r="J72" t="s">
        <v>190</v>
      </c>
      <c r="K72" t="s">
        <v>2233</v>
      </c>
      <c r="M72" t="str">
        <f t="shared" si="1"/>
        <v xml:space="preserve"> 0.8772</v>
      </c>
      <c r="P72">
        <v>0.87719999999999998</v>
      </c>
      <c r="Q72">
        <v>9</v>
      </c>
    </row>
    <row r="73" spans="1:17" x14ac:dyDescent="0.2">
      <c r="A73">
        <v>44</v>
      </c>
      <c r="B73" t="s">
        <v>118</v>
      </c>
      <c r="C73" t="s">
        <v>191</v>
      </c>
      <c r="D73">
        <v>-0.49399999999999999</v>
      </c>
      <c r="E73">
        <v>7</v>
      </c>
      <c r="F73" t="s">
        <v>192</v>
      </c>
      <c r="G73" t="s">
        <v>64</v>
      </c>
      <c r="H73" t="s">
        <v>40</v>
      </c>
      <c r="I73" t="s">
        <v>165</v>
      </c>
      <c r="J73" t="s">
        <v>193</v>
      </c>
      <c r="K73" t="s">
        <v>2234</v>
      </c>
      <c r="M73" t="str">
        <f t="shared" si="1"/>
        <v xml:space="preserve"> 0.7667</v>
      </c>
      <c r="P73">
        <v>0.76670000000000005</v>
      </c>
      <c r="Q73">
        <v>7</v>
      </c>
    </row>
    <row r="74" spans="1:17" x14ac:dyDescent="0.2">
      <c r="A74">
        <v>45</v>
      </c>
      <c r="B74" t="s">
        <v>194</v>
      </c>
      <c r="C74" t="s">
        <v>195</v>
      </c>
      <c r="D74">
        <v>-0.83399999999999996</v>
      </c>
      <c r="E74">
        <v>8</v>
      </c>
      <c r="F74" t="s">
        <v>140</v>
      </c>
      <c r="G74" t="s">
        <v>33</v>
      </c>
      <c r="H74" t="s">
        <v>34</v>
      </c>
      <c r="I74" t="s">
        <v>165</v>
      </c>
      <c r="J74" t="s">
        <v>196</v>
      </c>
      <c r="K74" t="s">
        <v>2235</v>
      </c>
      <c r="M74" t="str">
        <f t="shared" si="1"/>
        <v xml:space="preserve"> 2.0811</v>
      </c>
      <c r="P74">
        <v>2.0811000000000002</v>
      </c>
      <c r="Q74">
        <v>8</v>
      </c>
    </row>
    <row r="75" spans="1:17" x14ac:dyDescent="0.2">
      <c r="A75">
        <v>46</v>
      </c>
      <c r="B75" t="s">
        <v>37</v>
      </c>
      <c r="C75" t="s">
        <v>197</v>
      </c>
      <c r="D75">
        <v>-0.71099999999999997</v>
      </c>
      <c r="E75">
        <v>7</v>
      </c>
      <c r="F75" t="s">
        <v>76</v>
      </c>
      <c r="G75" t="s">
        <v>33</v>
      </c>
      <c r="H75" t="s">
        <v>40</v>
      </c>
      <c r="I75" t="s">
        <v>165</v>
      </c>
      <c r="J75" t="s">
        <v>198</v>
      </c>
      <c r="K75" t="s">
        <v>2236</v>
      </c>
      <c r="M75" t="str">
        <f t="shared" si="1"/>
        <v xml:space="preserve"> 3.4462</v>
      </c>
      <c r="P75">
        <v>3.4462000000000002</v>
      </c>
      <c r="Q75">
        <v>7</v>
      </c>
    </row>
    <row r="76" spans="1:17" x14ac:dyDescent="0.2">
      <c r="A76">
        <v>47</v>
      </c>
      <c r="B76" t="s">
        <v>43</v>
      </c>
      <c r="C76" t="s">
        <v>199</v>
      </c>
      <c r="D76">
        <v>-0.83699999999999997</v>
      </c>
      <c r="E76">
        <v>8</v>
      </c>
      <c r="F76" t="s">
        <v>200</v>
      </c>
      <c r="G76" t="s">
        <v>33</v>
      </c>
      <c r="H76" t="s">
        <v>34</v>
      </c>
      <c r="I76" t="s">
        <v>165</v>
      </c>
      <c r="J76" t="s">
        <v>201</v>
      </c>
      <c r="K76" t="s">
        <v>2237</v>
      </c>
      <c r="M76" t="str">
        <f t="shared" si="1"/>
        <v xml:space="preserve"> 2.6830</v>
      </c>
      <c r="P76">
        <v>2.6829999999999998</v>
      </c>
      <c r="Q76">
        <v>8</v>
      </c>
    </row>
    <row r="77" spans="1:17" x14ac:dyDescent="0.2">
      <c r="A77">
        <v>48</v>
      </c>
      <c r="B77" t="s">
        <v>57</v>
      </c>
      <c r="C77" t="s">
        <v>202</v>
      </c>
      <c r="D77">
        <v>-0.30599999999999999</v>
      </c>
      <c r="E77">
        <v>6</v>
      </c>
      <c r="F77" t="s">
        <v>203</v>
      </c>
      <c r="G77" t="s">
        <v>33</v>
      </c>
      <c r="H77" t="s">
        <v>40</v>
      </c>
      <c r="I77" t="s">
        <v>165</v>
      </c>
      <c r="J77" t="s">
        <v>204</v>
      </c>
      <c r="K77" t="s">
        <v>2238</v>
      </c>
      <c r="M77" t="str">
        <f t="shared" si="1"/>
        <v xml:space="preserve"> 3.4975</v>
      </c>
      <c r="P77">
        <v>3.4975000000000001</v>
      </c>
      <c r="Q77">
        <v>6</v>
      </c>
    </row>
    <row r="78" spans="1:17" x14ac:dyDescent="0.2">
      <c r="A78">
        <v>49</v>
      </c>
      <c r="B78" t="s">
        <v>113</v>
      </c>
      <c r="C78" t="s">
        <v>205</v>
      </c>
      <c r="D78">
        <v>1.02</v>
      </c>
      <c r="E78">
        <v>3</v>
      </c>
      <c r="F78" t="s">
        <v>206</v>
      </c>
      <c r="G78" t="s">
        <v>33</v>
      </c>
      <c r="H78" t="s">
        <v>40</v>
      </c>
      <c r="I78" t="s">
        <v>207</v>
      </c>
      <c r="J78" t="s">
        <v>208</v>
      </c>
      <c r="K78" t="s">
        <v>2239</v>
      </c>
      <c r="M78" t="str">
        <f t="shared" si="1"/>
        <v xml:space="preserve"> 5.2374</v>
      </c>
      <c r="P78">
        <v>5.2374000000000001</v>
      </c>
      <c r="Q78">
        <v>3</v>
      </c>
    </row>
    <row r="79" spans="1:17" x14ac:dyDescent="0.2">
      <c r="A79">
        <v>50</v>
      </c>
      <c r="B79" t="s">
        <v>194</v>
      </c>
      <c r="C79" t="s">
        <v>209</v>
      </c>
      <c r="D79">
        <v>-0.58899999999999997</v>
      </c>
      <c r="E79">
        <v>7</v>
      </c>
      <c r="F79" t="s">
        <v>173</v>
      </c>
      <c r="G79" t="s">
        <v>33</v>
      </c>
      <c r="H79" t="s">
        <v>40</v>
      </c>
      <c r="I79" t="s">
        <v>154</v>
      </c>
      <c r="J79" t="s">
        <v>210</v>
      </c>
      <c r="K79" t="s">
        <v>2240</v>
      </c>
      <c r="M79" t="str">
        <f t="shared" si="1"/>
        <v xml:space="preserve"> 8.9149</v>
      </c>
      <c r="P79">
        <v>8.9148999999999994</v>
      </c>
      <c r="Q79">
        <v>7</v>
      </c>
    </row>
    <row r="80" spans="1:17" x14ac:dyDescent="0.2">
      <c r="A80">
        <v>51</v>
      </c>
      <c r="B80" t="s">
        <v>156</v>
      </c>
      <c r="C80" t="s">
        <v>211</v>
      </c>
      <c r="D80">
        <v>2.802</v>
      </c>
      <c r="E80">
        <v>1</v>
      </c>
      <c r="F80" t="s">
        <v>105</v>
      </c>
      <c r="G80" t="s">
        <v>33</v>
      </c>
      <c r="H80" t="s">
        <v>40</v>
      </c>
      <c r="I80" t="s">
        <v>212</v>
      </c>
      <c r="J80" t="s">
        <v>213</v>
      </c>
      <c r="K80" t="s">
        <v>2241</v>
      </c>
      <c r="M80" t="str">
        <f t="shared" si="1"/>
        <v xml:space="preserve"> 11.913</v>
      </c>
      <c r="P80">
        <v>11.913</v>
      </c>
      <c r="Q80">
        <v>1</v>
      </c>
    </row>
    <row r="81" spans="1:17" x14ac:dyDescent="0.2">
      <c r="A81">
        <v>52</v>
      </c>
      <c r="B81" t="s">
        <v>52</v>
      </c>
      <c r="C81" t="s">
        <v>214</v>
      </c>
      <c r="D81">
        <v>2.9260000000000002</v>
      </c>
      <c r="E81">
        <v>1</v>
      </c>
      <c r="F81" t="s">
        <v>105</v>
      </c>
      <c r="G81" t="s">
        <v>33</v>
      </c>
      <c r="H81" t="s">
        <v>40</v>
      </c>
      <c r="I81" t="s">
        <v>215</v>
      </c>
      <c r="J81" t="s">
        <v>216</v>
      </c>
      <c r="K81" t="s">
        <v>2242</v>
      </c>
      <c r="M81" t="str">
        <f t="shared" si="1"/>
        <v xml:space="preserve"> 7.4981</v>
      </c>
      <c r="P81">
        <v>7.4981</v>
      </c>
      <c r="Q81">
        <v>1</v>
      </c>
    </row>
    <row r="82" spans="1:17" x14ac:dyDescent="0.2">
      <c r="A82">
        <v>53</v>
      </c>
      <c r="B82" t="s">
        <v>156</v>
      </c>
      <c r="C82" t="s">
        <v>217</v>
      </c>
      <c r="D82">
        <v>2.9319999999999999</v>
      </c>
      <c r="E82">
        <v>1</v>
      </c>
      <c r="F82" t="s">
        <v>105</v>
      </c>
      <c r="G82" t="s">
        <v>33</v>
      </c>
      <c r="H82" t="s">
        <v>40</v>
      </c>
      <c r="I82" t="s">
        <v>121</v>
      </c>
      <c r="J82" t="s">
        <v>218</v>
      </c>
      <c r="K82" t="s">
        <v>2243</v>
      </c>
      <c r="M82" t="str">
        <f t="shared" si="1"/>
        <v xml:space="preserve"> 10.337</v>
      </c>
      <c r="P82">
        <v>10.337</v>
      </c>
      <c r="Q82">
        <v>1</v>
      </c>
    </row>
    <row r="83" spans="1:17" x14ac:dyDescent="0.2">
      <c r="A83">
        <v>54</v>
      </c>
      <c r="B83" t="s">
        <v>37</v>
      </c>
      <c r="C83" t="s">
        <v>219</v>
      </c>
      <c r="D83">
        <v>0.751</v>
      </c>
      <c r="E83">
        <v>4</v>
      </c>
      <c r="F83" t="s">
        <v>45</v>
      </c>
      <c r="G83" t="s">
        <v>33</v>
      </c>
      <c r="H83" t="s">
        <v>40</v>
      </c>
      <c r="I83" t="s">
        <v>220</v>
      </c>
      <c r="J83" t="s">
        <v>221</v>
      </c>
      <c r="K83" t="s">
        <v>2244</v>
      </c>
      <c r="M83" t="str">
        <f t="shared" si="1"/>
        <v xml:space="preserve"> 9.4349</v>
      </c>
      <c r="P83">
        <v>9.4349000000000007</v>
      </c>
      <c r="Q83">
        <v>4</v>
      </c>
    </row>
    <row r="84" spans="1:17" x14ac:dyDescent="0.2">
      <c r="A84">
        <v>55</v>
      </c>
      <c r="B84" t="s">
        <v>43</v>
      </c>
      <c r="C84" t="s">
        <v>222</v>
      </c>
      <c r="D84">
        <v>2.931</v>
      </c>
      <c r="E84">
        <v>1</v>
      </c>
      <c r="F84" t="s">
        <v>105</v>
      </c>
      <c r="G84" t="s">
        <v>33</v>
      </c>
      <c r="H84" t="s">
        <v>40</v>
      </c>
      <c r="I84" t="s">
        <v>162</v>
      </c>
      <c r="J84" t="s">
        <v>223</v>
      </c>
      <c r="K84" t="s">
        <v>2245</v>
      </c>
      <c r="M84" t="str">
        <f t="shared" si="1"/>
        <v xml:space="preserve"> 5.5556</v>
      </c>
      <c r="P84">
        <v>5.5556000000000001</v>
      </c>
      <c r="Q84">
        <v>1</v>
      </c>
    </row>
    <row r="85" spans="1:17" x14ac:dyDescent="0.2">
      <c r="A85">
        <v>56</v>
      </c>
      <c r="B85" t="s">
        <v>37</v>
      </c>
      <c r="C85" t="s">
        <v>224</v>
      </c>
      <c r="D85">
        <v>1.7410000000000001</v>
      </c>
      <c r="E85">
        <v>2</v>
      </c>
      <c r="F85" t="s">
        <v>225</v>
      </c>
      <c r="G85" t="s">
        <v>33</v>
      </c>
      <c r="H85" t="s">
        <v>40</v>
      </c>
      <c r="I85" t="s">
        <v>165</v>
      </c>
      <c r="J85" t="s">
        <v>226</v>
      </c>
      <c r="K85" t="s">
        <v>2246</v>
      </c>
      <c r="M85" t="str">
        <f t="shared" si="1"/>
        <v xml:space="preserve"> 5.8832</v>
      </c>
      <c r="P85">
        <v>5.8832000000000004</v>
      </c>
      <c r="Q85">
        <v>2</v>
      </c>
    </row>
    <row r="86" spans="1:17" x14ac:dyDescent="0.2">
      <c r="A86">
        <v>57</v>
      </c>
      <c r="B86" t="s">
        <v>37</v>
      </c>
      <c r="C86" t="s">
        <v>227</v>
      </c>
      <c r="D86">
        <v>1.0569999999999999</v>
      </c>
      <c r="E86">
        <v>3</v>
      </c>
      <c r="F86" t="s">
        <v>206</v>
      </c>
      <c r="G86" t="s">
        <v>33</v>
      </c>
      <c r="H86" t="s">
        <v>40</v>
      </c>
      <c r="I86" t="s">
        <v>228</v>
      </c>
      <c r="J86" t="s">
        <v>229</v>
      </c>
      <c r="K86" t="s">
        <v>2247</v>
      </c>
      <c r="M86" t="str">
        <f t="shared" si="1"/>
        <v xml:space="preserve"> 5.3591</v>
      </c>
      <c r="P86">
        <v>5.3590999999999998</v>
      </c>
      <c r="Q86">
        <v>3</v>
      </c>
    </row>
    <row r="87" spans="1:17" x14ac:dyDescent="0.2">
      <c r="A87">
        <v>58</v>
      </c>
      <c r="B87" t="s">
        <v>94</v>
      </c>
      <c r="C87" t="s">
        <v>230</v>
      </c>
      <c r="D87">
        <v>2.33</v>
      </c>
      <c r="E87">
        <v>1</v>
      </c>
      <c r="F87" t="s">
        <v>231</v>
      </c>
      <c r="G87" t="s">
        <v>33</v>
      </c>
      <c r="H87" t="s">
        <v>40</v>
      </c>
      <c r="I87" t="s">
        <v>228</v>
      </c>
      <c r="J87" t="s">
        <v>232</v>
      </c>
      <c r="K87" t="s">
        <v>2248</v>
      </c>
      <c r="M87" t="str">
        <f t="shared" si="1"/>
        <v xml:space="preserve"> 4.7872</v>
      </c>
      <c r="P87">
        <v>4.7872000000000003</v>
      </c>
      <c r="Q87">
        <v>1</v>
      </c>
    </row>
    <row r="88" spans="1:17" x14ac:dyDescent="0.2">
      <c r="A88">
        <v>59</v>
      </c>
      <c r="B88" t="s">
        <v>233</v>
      </c>
      <c r="C88" t="s">
        <v>234</v>
      </c>
      <c r="D88">
        <v>-1.278</v>
      </c>
      <c r="E88">
        <v>9</v>
      </c>
      <c r="F88" t="s">
        <v>235</v>
      </c>
      <c r="G88" t="s">
        <v>64</v>
      </c>
      <c r="H88" t="s">
        <v>65</v>
      </c>
      <c r="I88" t="s">
        <v>228</v>
      </c>
      <c r="J88" t="s">
        <v>236</v>
      </c>
      <c r="K88" t="s">
        <v>2249</v>
      </c>
      <c r="M88" t="str">
        <f t="shared" si="1"/>
        <v xml:space="preserve"> 3.7449</v>
      </c>
      <c r="P88">
        <v>3.7448999999999999</v>
      </c>
      <c r="Q88">
        <v>9</v>
      </c>
    </row>
    <row r="89" spans="1:17" x14ac:dyDescent="0.2">
      <c r="A89">
        <v>60</v>
      </c>
      <c r="B89" t="s">
        <v>142</v>
      </c>
      <c r="C89" t="s">
        <v>237</v>
      </c>
      <c r="D89">
        <v>-0.14499999999999999</v>
      </c>
      <c r="E89">
        <v>6</v>
      </c>
      <c r="F89" t="s">
        <v>238</v>
      </c>
      <c r="G89" t="s">
        <v>64</v>
      </c>
      <c r="H89" t="s">
        <v>40</v>
      </c>
      <c r="I89" t="s">
        <v>228</v>
      </c>
      <c r="J89" t="s">
        <v>239</v>
      </c>
      <c r="K89" t="s">
        <v>2250</v>
      </c>
      <c r="M89" t="str">
        <f t="shared" si="1"/>
        <v xml:space="preserve"> 4.0194</v>
      </c>
      <c r="P89">
        <v>4.0194000000000001</v>
      </c>
      <c r="Q89">
        <v>6</v>
      </c>
    </row>
    <row r="90" spans="1:17" x14ac:dyDescent="0.2">
      <c r="A90">
        <v>61</v>
      </c>
      <c r="B90" t="s">
        <v>57</v>
      </c>
      <c r="C90" t="s">
        <v>240</v>
      </c>
      <c r="D90">
        <v>-0.42699999999999999</v>
      </c>
      <c r="E90">
        <v>6</v>
      </c>
      <c r="F90" t="s">
        <v>129</v>
      </c>
      <c r="G90" t="s">
        <v>64</v>
      </c>
      <c r="H90" t="s">
        <v>40</v>
      </c>
      <c r="I90" t="s">
        <v>228</v>
      </c>
      <c r="J90" t="s">
        <v>241</v>
      </c>
      <c r="K90" t="s">
        <v>2251</v>
      </c>
      <c r="M90" t="str">
        <f t="shared" si="1"/>
        <v xml:space="preserve"> 3.9515</v>
      </c>
      <c r="P90">
        <v>3.9514999999999998</v>
      </c>
      <c r="Q90">
        <v>6</v>
      </c>
    </row>
    <row r="91" spans="1:17" x14ac:dyDescent="0.2">
      <c r="A91">
        <v>62</v>
      </c>
      <c r="B91" t="s">
        <v>194</v>
      </c>
      <c r="C91" t="s">
        <v>242</v>
      </c>
      <c r="D91">
        <v>-1.135</v>
      </c>
      <c r="E91">
        <v>9</v>
      </c>
      <c r="F91" t="s">
        <v>189</v>
      </c>
      <c r="G91" t="s">
        <v>33</v>
      </c>
      <c r="H91" t="s">
        <v>34</v>
      </c>
      <c r="I91" t="s">
        <v>165</v>
      </c>
      <c r="J91" t="s">
        <v>243</v>
      </c>
      <c r="K91" t="s">
        <v>2252</v>
      </c>
      <c r="M91" t="str">
        <f t="shared" si="1"/>
        <v xml:space="preserve"> 4.6540</v>
      </c>
      <c r="P91">
        <v>4.6539999999999999</v>
      </c>
      <c r="Q91">
        <v>9</v>
      </c>
    </row>
    <row r="92" spans="1:17" x14ac:dyDescent="0.2">
      <c r="A92">
        <v>63</v>
      </c>
      <c r="B92" t="s">
        <v>123</v>
      </c>
      <c r="C92" t="s">
        <v>244</v>
      </c>
      <c r="D92">
        <v>1.5049999999999999</v>
      </c>
      <c r="E92">
        <v>3</v>
      </c>
      <c r="F92" t="s">
        <v>120</v>
      </c>
      <c r="G92" t="s">
        <v>33</v>
      </c>
      <c r="H92" t="s">
        <v>40</v>
      </c>
      <c r="I92" t="s">
        <v>228</v>
      </c>
      <c r="J92" t="s">
        <v>245</v>
      </c>
      <c r="K92" t="s">
        <v>2253</v>
      </c>
      <c r="M92" t="str">
        <f t="shared" si="1"/>
        <v xml:space="preserve"> 4.1475</v>
      </c>
      <c r="P92">
        <v>4.1475</v>
      </c>
      <c r="Q92">
        <v>3</v>
      </c>
    </row>
    <row r="93" spans="1:17" x14ac:dyDescent="0.2">
      <c r="A93">
        <v>64</v>
      </c>
      <c r="B93" t="s">
        <v>194</v>
      </c>
      <c r="C93" t="s">
        <v>246</v>
      </c>
      <c r="D93">
        <v>-0.753</v>
      </c>
      <c r="E93">
        <v>8</v>
      </c>
      <c r="F93" t="s">
        <v>72</v>
      </c>
      <c r="G93" t="s">
        <v>33</v>
      </c>
      <c r="H93" t="s">
        <v>34</v>
      </c>
      <c r="I93" t="s">
        <v>165</v>
      </c>
      <c r="J93" t="s">
        <v>247</v>
      </c>
      <c r="K93" t="s">
        <v>2254</v>
      </c>
      <c r="M93" t="str">
        <f t="shared" si="1"/>
        <v xml:space="preserve"> 3.4412</v>
      </c>
      <c r="P93">
        <v>3.4411999999999998</v>
      </c>
      <c r="Q93">
        <v>8</v>
      </c>
    </row>
    <row r="94" spans="1:17" x14ac:dyDescent="0.2">
      <c r="A94">
        <v>65</v>
      </c>
      <c r="B94" t="s">
        <v>101</v>
      </c>
      <c r="C94" t="s">
        <v>248</v>
      </c>
      <c r="D94">
        <v>0.77500000000000002</v>
      </c>
      <c r="E94">
        <v>4</v>
      </c>
      <c r="F94" t="s">
        <v>45</v>
      </c>
      <c r="G94" t="s">
        <v>33</v>
      </c>
      <c r="H94" t="s">
        <v>40</v>
      </c>
      <c r="I94" t="s">
        <v>228</v>
      </c>
      <c r="J94" t="s">
        <v>249</v>
      </c>
      <c r="K94" t="s">
        <v>2255</v>
      </c>
      <c r="M94" t="str">
        <f t="shared" si="1"/>
        <v xml:space="preserve"> 1.8478</v>
      </c>
      <c r="P94">
        <v>1.8478000000000001</v>
      </c>
      <c r="Q94">
        <v>4</v>
      </c>
    </row>
    <row r="95" spans="1:17" x14ac:dyDescent="0.2">
      <c r="A95">
        <v>66</v>
      </c>
      <c r="B95" t="s">
        <v>194</v>
      </c>
      <c r="C95" t="s">
        <v>250</v>
      </c>
      <c r="D95">
        <v>-0.115</v>
      </c>
      <c r="E95">
        <v>5</v>
      </c>
      <c r="F95" t="s">
        <v>238</v>
      </c>
      <c r="G95" t="s">
        <v>33</v>
      </c>
      <c r="H95" t="s">
        <v>40</v>
      </c>
      <c r="I95" t="s">
        <v>228</v>
      </c>
      <c r="J95" t="s">
        <v>251</v>
      </c>
      <c r="K95" t="s">
        <v>2256</v>
      </c>
      <c r="M95" t="str">
        <f t="shared" si="1"/>
        <v xml:space="preserve"> 1.7574</v>
      </c>
      <c r="P95">
        <v>1.7574000000000001</v>
      </c>
      <c r="Q95">
        <v>5</v>
      </c>
    </row>
    <row r="96" spans="1:17" x14ac:dyDescent="0.2">
      <c r="A96">
        <v>67</v>
      </c>
      <c r="B96" t="s">
        <v>52</v>
      </c>
      <c r="C96" t="s">
        <v>252</v>
      </c>
      <c r="D96">
        <v>-1.196</v>
      </c>
      <c r="E96">
        <v>9</v>
      </c>
      <c r="F96" t="s">
        <v>253</v>
      </c>
      <c r="G96" t="s">
        <v>64</v>
      </c>
      <c r="H96" t="s">
        <v>65</v>
      </c>
      <c r="I96" t="s">
        <v>228</v>
      </c>
      <c r="J96" t="s">
        <v>254</v>
      </c>
      <c r="K96" t="s">
        <v>2257</v>
      </c>
      <c r="M96" t="str">
        <f t="shared" si="1"/>
        <v xml:space="preserve"> 1.2434</v>
      </c>
      <c r="P96">
        <v>1.2434000000000001</v>
      </c>
      <c r="Q96">
        <v>9</v>
      </c>
    </row>
    <row r="97" spans="1:17" x14ac:dyDescent="0.2">
      <c r="A97">
        <v>68</v>
      </c>
      <c r="B97" t="s">
        <v>233</v>
      </c>
      <c r="C97" t="s">
        <v>255</v>
      </c>
      <c r="D97">
        <v>-1.278</v>
      </c>
      <c r="E97">
        <v>9</v>
      </c>
      <c r="F97" t="s">
        <v>235</v>
      </c>
      <c r="G97" t="s">
        <v>64</v>
      </c>
      <c r="H97" t="s">
        <v>65</v>
      </c>
      <c r="I97" t="s">
        <v>228</v>
      </c>
      <c r="J97" t="s">
        <v>236</v>
      </c>
      <c r="K97" t="s">
        <v>2258</v>
      </c>
      <c r="M97" t="str">
        <f t="shared" si="1"/>
        <v xml:space="preserve"> 1.8721</v>
      </c>
      <c r="P97">
        <v>1.8721000000000001</v>
      </c>
      <c r="Q97">
        <v>9</v>
      </c>
    </row>
    <row r="98" spans="1:17" x14ac:dyDescent="0.2">
      <c r="A98">
        <v>69</v>
      </c>
      <c r="B98" t="s">
        <v>156</v>
      </c>
      <c r="C98" t="s">
        <v>256</v>
      </c>
      <c r="D98">
        <v>-0.23300000000000001</v>
      </c>
      <c r="E98">
        <v>6</v>
      </c>
      <c r="F98" t="s">
        <v>137</v>
      </c>
      <c r="G98" t="s">
        <v>33</v>
      </c>
      <c r="H98" t="s">
        <v>40</v>
      </c>
      <c r="I98" t="s">
        <v>228</v>
      </c>
      <c r="J98" t="s">
        <v>257</v>
      </c>
      <c r="K98" t="s">
        <v>2259</v>
      </c>
      <c r="M98" t="str">
        <f t="shared" si="1"/>
        <v xml:space="preserve"> 1.9062</v>
      </c>
      <c r="P98">
        <v>1.9061999999999999</v>
      </c>
      <c r="Q98">
        <v>6</v>
      </c>
    </row>
    <row r="99" spans="1:17" x14ac:dyDescent="0.2">
      <c r="A99">
        <v>70</v>
      </c>
      <c r="B99" t="s">
        <v>57</v>
      </c>
      <c r="C99" t="s">
        <v>258</v>
      </c>
      <c r="D99">
        <v>-0.75800000000000001</v>
      </c>
      <c r="E99">
        <v>8</v>
      </c>
      <c r="F99" t="s">
        <v>59</v>
      </c>
      <c r="G99" t="s">
        <v>64</v>
      </c>
      <c r="H99" t="s">
        <v>40</v>
      </c>
      <c r="I99" t="s">
        <v>228</v>
      </c>
      <c r="J99" t="s">
        <v>259</v>
      </c>
      <c r="K99" t="s">
        <v>2260</v>
      </c>
      <c r="M99" t="str">
        <f t="shared" si="1"/>
        <v xml:space="preserve"> 1.5494</v>
      </c>
      <c r="P99">
        <v>1.5494000000000001</v>
      </c>
      <c r="Q99">
        <v>8</v>
      </c>
    </row>
    <row r="100" spans="1:17" x14ac:dyDescent="0.2">
      <c r="A100">
        <v>71</v>
      </c>
      <c r="B100" t="s">
        <v>43</v>
      </c>
      <c r="C100" t="s">
        <v>260</v>
      </c>
      <c r="D100">
        <v>-0.627</v>
      </c>
      <c r="E100">
        <v>7</v>
      </c>
      <c r="F100" t="s">
        <v>261</v>
      </c>
      <c r="G100" t="s">
        <v>64</v>
      </c>
      <c r="H100" t="s">
        <v>40</v>
      </c>
      <c r="I100" t="s">
        <v>228</v>
      </c>
      <c r="J100" t="s">
        <v>262</v>
      </c>
      <c r="K100" t="s">
        <v>2261</v>
      </c>
      <c r="M100" t="str">
        <f t="shared" si="1"/>
        <v xml:space="preserve"> 1.4858</v>
      </c>
      <c r="P100">
        <v>1.4858</v>
      </c>
      <c r="Q100">
        <v>7</v>
      </c>
    </row>
    <row r="101" spans="1:17" x14ac:dyDescent="0.2">
      <c r="A101">
        <v>72</v>
      </c>
      <c r="B101" t="s">
        <v>118</v>
      </c>
      <c r="C101" t="s">
        <v>263</v>
      </c>
      <c r="D101">
        <v>-0.442</v>
      </c>
      <c r="E101">
        <v>7</v>
      </c>
      <c r="F101" t="s">
        <v>264</v>
      </c>
      <c r="G101" t="s">
        <v>64</v>
      </c>
      <c r="H101" t="s">
        <v>40</v>
      </c>
      <c r="I101" t="s">
        <v>228</v>
      </c>
      <c r="J101" t="s">
        <v>265</v>
      </c>
      <c r="K101" t="s">
        <v>2262</v>
      </c>
      <c r="M101" t="str">
        <f t="shared" si="1"/>
        <v xml:space="preserve"> 0.9508</v>
      </c>
      <c r="P101">
        <v>0.95079999999999998</v>
      </c>
      <c r="Q101">
        <v>7</v>
      </c>
    </row>
    <row r="102" spans="1:17" x14ac:dyDescent="0.2">
      <c r="A102">
        <v>73</v>
      </c>
      <c r="B102" t="s">
        <v>52</v>
      </c>
      <c r="C102" t="s">
        <v>266</v>
      </c>
      <c r="D102">
        <v>0.45300000000000001</v>
      </c>
      <c r="E102">
        <v>4</v>
      </c>
      <c r="F102" t="s">
        <v>267</v>
      </c>
      <c r="G102" t="s">
        <v>64</v>
      </c>
      <c r="H102" t="s">
        <v>40</v>
      </c>
      <c r="I102" t="s">
        <v>228</v>
      </c>
      <c r="J102" t="s">
        <v>268</v>
      </c>
      <c r="K102" t="s">
        <v>2263</v>
      </c>
      <c r="M102" t="str">
        <f t="shared" si="1"/>
        <v xml:space="preserve"> 0.8258</v>
      </c>
      <c r="P102">
        <v>0.82579999999999998</v>
      </c>
      <c r="Q102">
        <v>4</v>
      </c>
    </row>
    <row r="103" spans="1:17" x14ac:dyDescent="0.2">
      <c r="A103">
        <v>74</v>
      </c>
      <c r="B103" t="s">
        <v>118</v>
      </c>
      <c r="C103" t="s">
        <v>269</v>
      </c>
      <c r="D103">
        <v>-0.55000000000000004</v>
      </c>
      <c r="E103">
        <v>7</v>
      </c>
      <c r="F103" t="s">
        <v>170</v>
      </c>
      <c r="G103" t="s">
        <v>64</v>
      </c>
      <c r="H103" t="s">
        <v>40</v>
      </c>
      <c r="I103" t="s">
        <v>228</v>
      </c>
      <c r="J103" t="s">
        <v>270</v>
      </c>
      <c r="K103" t="s">
        <v>2264</v>
      </c>
      <c r="M103" t="str">
        <f t="shared" si="1"/>
        <v xml:space="preserve"> 0.2872</v>
      </c>
      <c r="P103">
        <v>0.28720000000000001</v>
      </c>
      <c r="Q103">
        <v>7</v>
      </c>
    </row>
    <row r="104" spans="1:17" x14ac:dyDescent="0.2">
      <c r="A104">
        <v>75</v>
      </c>
      <c r="B104" t="s">
        <v>43</v>
      </c>
      <c r="C104" t="s">
        <v>271</v>
      </c>
      <c r="D104">
        <v>-1.032</v>
      </c>
      <c r="E104">
        <v>9</v>
      </c>
      <c r="F104" t="s">
        <v>69</v>
      </c>
      <c r="G104" t="s">
        <v>64</v>
      </c>
      <c r="H104" t="s">
        <v>65</v>
      </c>
      <c r="I104" t="s">
        <v>228</v>
      </c>
      <c r="J104" t="s">
        <v>272</v>
      </c>
      <c r="K104" t="s">
        <v>2265</v>
      </c>
      <c r="M104" t="str">
        <f t="shared" ref="M104:M128" si="2">RIGHT((LEFT(K104,10)),7)</f>
        <v xml:space="preserve"> 0.5661</v>
      </c>
      <c r="P104">
        <v>0.56610000000000005</v>
      </c>
      <c r="Q104">
        <v>9</v>
      </c>
    </row>
    <row r="105" spans="1:17" x14ac:dyDescent="0.2">
      <c r="A105">
        <v>76</v>
      </c>
      <c r="B105" t="s">
        <v>118</v>
      </c>
      <c r="C105" t="s">
        <v>273</v>
      </c>
      <c r="D105">
        <v>-0.22600000000000001</v>
      </c>
      <c r="E105">
        <v>6</v>
      </c>
      <c r="F105" t="s">
        <v>137</v>
      </c>
      <c r="G105" t="s">
        <v>64</v>
      </c>
      <c r="H105" t="s">
        <v>40</v>
      </c>
      <c r="I105" t="s">
        <v>228</v>
      </c>
      <c r="J105" t="s">
        <v>274</v>
      </c>
      <c r="K105" t="s">
        <v>2266</v>
      </c>
      <c r="M105" t="str">
        <f t="shared" si="2"/>
        <v xml:space="preserve"> 0.3921</v>
      </c>
      <c r="P105">
        <v>0.3921</v>
      </c>
      <c r="Q105">
        <v>6</v>
      </c>
    </row>
    <row r="106" spans="1:17" x14ac:dyDescent="0.2">
      <c r="A106">
        <v>77</v>
      </c>
      <c r="B106" t="s">
        <v>113</v>
      </c>
      <c r="C106" t="s">
        <v>275</v>
      </c>
      <c r="D106">
        <v>-0.217</v>
      </c>
      <c r="E106">
        <v>6</v>
      </c>
      <c r="F106" t="s">
        <v>137</v>
      </c>
      <c r="G106" t="s">
        <v>64</v>
      </c>
      <c r="H106" t="s">
        <v>40</v>
      </c>
      <c r="I106" t="s">
        <v>228</v>
      </c>
      <c r="J106" t="s">
        <v>276</v>
      </c>
      <c r="K106" t="s">
        <v>2267</v>
      </c>
      <c r="M106" t="str">
        <f t="shared" si="2"/>
        <v xml:space="preserve"> 0.1189</v>
      </c>
      <c r="P106">
        <v>0.11890000000000001</v>
      </c>
      <c r="Q106">
        <v>6</v>
      </c>
    </row>
    <row r="107" spans="1:17" x14ac:dyDescent="0.2">
      <c r="A107">
        <v>78</v>
      </c>
      <c r="B107" t="s">
        <v>52</v>
      </c>
      <c r="C107" t="s">
        <v>277</v>
      </c>
      <c r="D107">
        <v>-0.879</v>
      </c>
      <c r="E107">
        <v>8</v>
      </c>
      <c r="F107" t="s">
        <v>278</v>
      </c>
      <c r="G107" t="s">
        <v>64</v>
      </c>
      <c r="H107" t="s">
        <v>40</v>
      </c>
      <c r="I107" t="s">
        <v>228</v>
      </c>
      <c r="J107" t="s">
        <v>279</v>
      </c>
      <c r="K107" t="s">
        <v>2268</v>
      </c>
      <c r="M107" t="str">
        <f t="shared" si="2"/>
        <v xml:space="preserve"> 0.1796</v>
      </c>
      <c r="P107">
        <v>0.17960000000000001</v>
      </c>
      <c r="Q107">
        <v>8</v>
      </c>
    </row>
    <row r="108" spans="1:17" x14ac:dyDescent="0.2">
      <c r="A108">
        <v>79</v>
      </c>
      <c r="B108" t="s">
        <v>94</v>
      </c>
      <c r="C108" t="s">
        <v>280</v>
      </c>
      <c r="D108">
        <v>-1.121</v>
      </c>
      <c r="E108">
        <v>9</v>
      </c>
      <c r="F108" t="s">
        <v>281</v>
      </c>
      <c r="G108" t="s">
        <v>64</v>
      </c>
      <c r="H108" t="s">
        <v>65</v>
      </c>
      <c r="I108" t="s">
        <v>228</v>
      </c>
      <c r="J108" t="s">
        <v>282</v>
      </c>
      <c r="K108" t="s">
        <v>2269</v>
      </c>
      <c r="M108" t="str">
        <f t="shared" si="2"/>
        <v xml:space="preserve"> 0.4166</v>
      </c>
      <c r="P108">
        <v>0.41660000000000003</v>
      </c>
      <c r="Q108">
        <v>9</v>
      </c>
    </row>
    <row r="109" spans="1:17" x14ac:dyDescent="0.2">
      <c r="A109">
        <v>80</v>
      </c>
      <c r="B109" t="s">
        <v>113</v>
      </c>
      <c r="C109" t="s">
        <v>283</v>
      </c>
      <c r="D109">
        <v>-0.16500000000000001</v>
      </c>
      <c r="E109">
        <v>6</v>
      </c>
      <c r="F109" t="s">
        <v>284</v>
      </c>
      <c r="G109" t="s">
        <v>64</v>
      </c>
      <c r="H109" t="s">
        <v>40</v>
      </c>
      <c r="I109" t="s">
        <v>228</v>
      </c>
      <c r="J109" t="s">
        <v>285</v>
      </c>
      <c r="K109" t="s">
        <v>2270</v>
      </c>
      <c r="M109" t="str">
        <f t="shared" si="2"/>
        <v xml:space="preserve"> 0.5476</v>
      </c>
      <c r="P109">
        <v>0.54759999999999998</v>
      </c>
      <c r="Q109">
        <v>6</v>
      </c>
    </row>
    <row r="110" spans="1:17" x14ac:dyDescent="0.2">
      <c r="A110">
        <v>81</v>
      </c>
      <c r="B110" t="s">
        <v>108</v>
      </c>
      <c r="C110" t="s">
        <v>286</v>
      </c>
      <c r="D110">
        <v>-0.33100000000000002</v>
      </c>
      <c r="E110">
        <v>6</v>
      </c>
      <c r="F110" t="s">
        <v>287</v>
      </c>
      <c r="G110" t="s">
        <v>64</v>
      </c>
      <c r="H110" t="s">
        <v>40</v>
      </c>
      <c r="I110" t="s">
        <v>228</v>
      </c>
      <c r="J110" t="s">
        <v>288</v>
      </c>
      <c r="K110" t="s">
        <v>2271</v>
      </c>
      <c r="M110" t="str">
        <f t="shared" si="2"/>
        <v xml:space="preserve"> 0.5723</v>
      </c>
      <c r="P110">
        <v>0.57230000000000003</v>
      </c>
      <c r="Q110">
        <v>6</v>
      </c>
    </row>
    <row r="111" spans="1:17" x14ac:dyDescent="0.2">
      <c r="A111">
        <v>82</v>
      </c>
      <c r="B111" t="s">
        <v>233</v>
      </c>
      <c r="C111" t="s">
        <v>289</v>
      </c>
      <c r="D111">
        <v>-0.17899999999999999</v>
      </c>
      <c r="E111">
        <v>6</v>
      </c>
      <c r="F111" t="s">
        <v>137</v>
      </c>
      <c r="G111" t="s">
        <v>64</v>
      </c>
      <c r="H111" t="s">
        <v>40</v>
      </c>
      <c r="I111" t="s">
        <v>228</v>
      </c>
      <c r="J111" t="s">
        <v>290</v>
      </c>
      <c r="K111" t="s">
        <v>2272</v>
      </c>
      <c r="M111" t="str">
        <f t="shared" si="2"/>
        <v xml:space="preserve"> 0.7336</v>
      </c>
      <c r="P111">
        <v>0.73360000000000003</v>
      </c>
      <c r="Q111">
        <v>6</v>
      </c>
    </row>
    <row r="112" spans="1:17" x14ac:dyDescent="0.2">
      <c r="A112">
        <v>83</v>
      </c>
      <c r="B112" t="s">
        <v>113</v>
      </c>
      <c r="C112" t="s">
        <v>291</v>
      </c>
      <c r="D112">
        <v>0.40300000000000002</v>
      </c>
      <c r="E112">
        <v>4</v>
      </c>
      <c r="F112" t="s">
        <v>267</v>
      </c>
      <c r="G112" t="s">
        <v>64</v>
      </c>
      <c r="H112" t="s">
        <v>40</v>
      </c>
      <c r="I112" t="s">
        <v>228</v>
      </c>
      <c r="J112" t="s">
        <v>292</v>
      </c>
      <c r="K112" t="s">
        <v>2273</v>
      </c>
      <c r="M112" t="str">
        <f t="shared" si="2"/>
        <v xml:space="preserve"> 1.0510</v>
      </c>
      <c r="P112">
        <v>1.0509999999999999</v>
      </c>
      <c r="Q112">
        <v>4</v>
      </c>
    </row>
    <row r="113" spans="1:17" x14ac:dyDescent="0.2">
      <c r="A113">
        <v>84</v>
      </c>
      <c r="B113" t="s">
        <v>113</v>
      </c>
      <c r="C113" t="s">
        <v>293</v>
      </c>
      <c r="D113">
        <v>0.747</v>
      </c>
      <c r="E113">
        <v>4</v>
      </c>
      <c r="F113" t="s">
        <v>45</v>
      </c>
      <c r="G113" t="s">
        <v>64</v>
      </c>
      <c r="H113" t="s">
        <v>40</v>
      </c>
      <c r="I113" t="s">
        <v>228</v>
      </c>
      <c r="J113" t="s">
        <v>294</v>
      </c>
      <c r="K113" t="s">
        <v>2274</v>
      </c>
      <c r="M113" t="str">
        <f t="shared" si="2"/>
        <v xml:space="preserve"> 0.7153</v>
      </c>
      <c r="P113">
        <v>0.71530000000000005</v>
      </c>
      <c r="Q113">
        <v>4</v>
      </c>
    </row>
    <row r="114" spans="1:17" x14ac:dyDescent="0.2">
      <c r="A114">
        <v>85</v>
      </c>
      <c r="B114" t="s">
        <v>57</v>
      </c>
      <c r="C114" t="s">
        <v>295</v>
      </c>
      <c r="D114">
        <v>-1.006</v>
      </c>
      <c r="E114">
        <v>9</v>
      </c>
      <c r="F114" t="s">
        <v>83</v>
      </c>
      <c r="G114" t="s">
        <v>64</v>
      </c>
      <c r="H114" t="s">
        <v>65</v>
      </c>
      <c r="I114" t="s">
        <v>228</v>
      </c>
      <c r="J114" t="s">
        <v>296</v>
      </c>
      <c r="K114" t="s">
        <v>2275</v>
      </c>
      <c r="M114" t="str">
        <f t="shared" si="2"/>
        <v xml:space="preserve"> 0.5848</v>
      </c>
      <c r="P114">
        <v>0.58479999999999999</v>
      </c>
      <c r="Q114">
        <v>9</v>
      </c>
    </row>
    <row r="115" spans="1:17" x14ac:dyDescent="0.2">
      <c r="A115">
        <v>86</v>
      </c>
      <c r="B115" t="s">
        <v>113</v>
      </c>
      <c r="C115" t="s">
        <v>297</v>
      </c>
      <c r="D115">
        <v>0.61199999999999999</v>
      </c>
      <c r="E115">
        <v>4</v>
      </c>
      <c r="F115" t="s">
        <v>110</v>
      </c>
      <c r="G115" t="s">
        <v>64</v>
      </c>
      <c r="H115" t="s">
        <v>40</v>
      </c>
      <c r="I115" t="s">
        <v>228</v>
      </c>
      <c r="J115" t="s">
        <v>298</v>
      </c>
      <c r="K115" t="s">
        <v>2276</v>
      </c>
      <c r="M115" t="str">
        <f t="shared" si="2"/>
        <v xml:space="preserve"> 1.1391</v>
      </c>
      <c r="P115">
        <v>1.1391</v>
      </c>
      <c r="Q115">
        <v>4</v>
      </c>
    </row>
    <row r="116" spans="1:17" x14ac:dyDescent="0.2">
      <c r="A116">
        <v>87</v>
      </c>
      <c r="B116" t="s">
        <v>52</v>
      </c>
      <c r="C116" t="s">
        <v>299</v>
      </c>
      <c r="D116">
        <v>0.625</v>
      </c>
      <c r="E116">
        <v>4</v>
      </c>
      <c r="F116" t="s">
        <v>110</v>
      </c>
      <c r="G116" t="s">
        <v>64</v>
      </c>
      <c r="H116" t="s">
        <v>40</v>
      </c>
      <c r="I116" t="s">
        <v>228</v>
      </c>
      <c r="J116" t="s">
        <v>300</v>
      </c>
      <c r="K116" t="s">
        <v>2277</v>
      </c>
      <c r="M116" t="str">
        <f t="shared" si="2"/>
        <v xml:space="preserve"> 1.0640</v>
      </c>
      <c r="P116">
        <v>1.0640000000000001</v>
      </c>
      <c r="Q116">
        <v>4</v>
      </c>
    </row>
    <row r="117" spans="1:17" x14ac:dyDescent="0.2">
      <c r="A117">
        <v>88</v>
      </c>
      <c r="B117" t="s">
        <v>113</v>
      </c>
      <c r="C117" t="s">
        <v>301</v>
      </c>
      <c r="D117">
        <v>-0.35299999999999998</v>
      </c>
      <c r="E117">
        <v>6</v>
      </c>
      <c r="F117" t="s">
        <v>203</v>
      </c>
      <c r="G117" t="s">
        <v>64</v>
      </c>
      <c r="H117" t="s">
        <v>40</v>
      </c>
      <c r="I117" t="s">
        <v>228</v>
      </c>
      <c r="J117" t="s">
        <v>302</v>
      </c>
      <c r="K117" t="s">
        <v>2278</v>
      </c>
      <c r="M117" t="str">
        <f t="shared" si="2"/>
        <v xml:space="preserve"> 0.7737</v>
      </c>
      <c r="P117">
        <v>0.77370000000000005</v>
      </c>
      <c r="Q117">
        <v>6</v>
      </c>
    </row>
    <row r="118" spans="1:17" x14ac:dyDescent="0.2">
      <c r="A118">
        <v>89</v>
      </c>
      <c r="B118" t="s">
        <v>97</v>
      </c>
      <c r="C118" t="s">
        <v>303</v>
      </c>
      <c r="D118">
        <v>-1.2</v>
      </c>
      <c r="E118">
        <v>9</v>
      </c>
      <c r="F118" t="s">
        <v>63</v>
      </c>
      <c r="G118" t="s">
        <v>64</v>
      </c>
      <c r="H118" t="s">
        <v>65</v>
      </c>
      <c r="I118" t="s">
        <v>228</v>
      </c>
      <c r="J118" t="s">
        <v>304</v>
      </c>
      <c r="K118" t="s">
        <v>2279</v>
      </c>
      <c r="M118" t="str">
        <f t="shared" si="2"/>
        <v xml:space="preserve"> 1.0171</v>
      </c>
      <c r="P118">
        <v>1.0170999999999999</v>
      </c>
      <c r="Q118">
        <v>9</v>
      </c>
    </row>
    <row r="119" spans="1:17" x14ac:dyDescent="0.2">
      <c r="A119">
        <v>90</v>
      </c>
      <c r="B119" t="s">
        <v>118</v>
      </c>
      <c r="C119" t="s">
        <v>305</v>
      </c>
      <c r="D119">
        <v>0.70699999999999996</v>
      </c>
      <c r="E119">
        <v>4</v>
      </c>
      <c r="F119" t="s">
        <v>306</v>
      </c>
      <c r="G119" t="s">
        <v>64</v>
      </c>
      <c r="H119" t="s">
        <v>40</v>
      </c>
      <c r="I119" t="s">
        <v>228</v>
      </c>
      <c r="J119" t="s">
        <v>307</v>
      </c>
      <c r="K119" t="s">
        <v>2280</v>
      </c>
      <c r="M119" t="str">
        <f t="shared" si="2"/>
        <v xml:space="preserve"> 1.4101</v>
      </c>
      <c r="P119">
        <v>1.4100999999999999</v>
      </c>
      <c r="Q119">
        <v>4</v>
      </c>
    </row>
    <row r="120" spans="1:17" x14ac:dyDescent="0.2">
      <c r="A120">
        <v>91</v>
      </c>
      <c r="B120" t="s">
        <v>57</v>
      </c>
      <c r="C120" t="s">
        <v>308</v>
      </c>
      <c r="D120">
        <v>0.13700000000000001</v>
      </c>
      <c r="E120">
        <v>5</v>
      </c>
      <c r="F120" t="s">
        <v>309</v>
      </c>
      <c r="G120" t="s">
        <v>64</v>
      </c>
      <c r="H120" t="s">
        <v>40</v>
      </c>
      <c r="I120" t="s">
        <v>228</v>
      </c>
      <c r="J120" t="s">
        <v>310</v>
      </c>
      <c r="K120" t="s">
        <v>2281</v>
      </c>
      <c r="M120" t="str">
        <f t="shared" si="2"/>
        <v xml:space="preserve"> 1.1294</v>
      </c>
      <c r="P120">
        <v>1.1294</v>
      </c>
      <c r="Q120">
        <v>5</v>
      </c>
    </row>
    <row r="121" spans="1:17" x14ac:dyDescent="0.2">
      <c r="A121">
        <v>92</v>
      </c>
      <c r="B121" t="s">
        <v>94</v>
      </c>
      <c r="C121" t="s">
        <v>311</v>
      </c>
      <c r="D121">
        <v>-0.56499999999999995</v>
      </c>
      <c r="E121">
        <v>7</v>
      </c>
      <c r="F121" t="s">
        <v>184</v>
      </c>
      <c r="G121" t="s">
        <v>64</v>
      </c>
      <c r="H121" t="s">
        <v>40</v>
      </c>
      <c r="I121" t="s">
        <v>228</v>
      </c>
      <c r="J121" t="s">
        <v>312</v>
      </c>
      <c r="K121" t="s">
        <v>2282</v>
      </c>
      <c r="M121" t="str">
        <f t="shared" si="2"/>
        <v xml:space="preserve"> 0.5400</v>
      </c>
      <c r="P121">
        <v>0.54</v>
      </c>
      <c r="Q121">
        <v>7</v>
      </c>
    </row>
    <row r="122" spans="1:17" x14ac:dyDescent="0.2">
      <c r="A122">
        <v>93</v>
      </c>
      <c r="B122" t="s">
        <v>101</v>
      </c>
      <c r="C122" t="s">
        <v>313</v>
      </c>
      <c r="D122">
        <v>-0.50600000000000001</v>
      </c>
      <c r="E122">
        <v>7</v>
      </c>
      <c r="F122" t="s">
        <v>192</v>
      </c>
      <c r="G122" t="s">
        <v>33</v>
      </c>
      <c r="H122" t="s">
        <v>40</v>
      </c>
      <c r="I122" t="s">
        <v>228</v>
      </c>
      <c r="J122" t="s">
        <v>314</v>
      </c>
      <c r="K122" t="s">
        <v>2283</v>
      </c>
      <c r="M122" t="str">
        <f t="shared" si="2"/>
        <v xml:space="preserve"> 1.3246</v>
      </c>
      <c r="P122">
        <v>1.3246</v>
      </c>
      <c r="Q122">
        <v>7</v>
      </c>
    </row>
    <row r="123" spans="1:17" x14ac:dyDescent="0.2">
      <c r="A123">
        <v>94</v>
      </c>
      <c r="B123" t="s">
        <v>127</v>
      </c>
      <c r="C123" t="s">
        <v>315</v>
      </c>
      <c r="D123">
        <v>-0.73</v>
      </c>
      <c r="E123">
        <v>8</v>
      </c>
      <c r="F123" t="s">
        <v>316</v>
      </c>
      <c r="G123" t="s">
        <v>33</v>
      </c>
      <c r="H123" t="s">
        <v>34</v>
      </c>
      <c r="I123" t="s">
        <v>165</v>
      </c>
      <c r="J123" t="s">
        <v>317</v>
      </c>
      <c r="K123" t="s">
        <v>2284</v>
      </c>
      <c r="M123" t="str">
        <f t="shared" si="2"/>
        <v xml:space="preserve"> 1.1932</v>
      </c>
      <c r="P123">
        <v>1.1932</v>
      </c>
      <c r="Q123">
        <v>8</v>
      </c>
    </row>
    <row r="124" spans="1:17" x14ac:dyDescent="0.2">
      <c r="A124">
        <v>95</v>
      </c>
      <c r="B124" t="s">
        <v>142</v>
      </c>
      <c r="C124" t="s">
        <v>318</v>
      </c>
      <c r="D124">
        <v>-0.82</v>
      </c>
      <c r="E124">
        <v>8</v>
      </c>
      <c r="F124" t="s">
        <v>140</v>
      </c>
      <c r="G124" t="s">
        <v>64</v>
      </c>
      <c r="H124" t="s">
        <v>40</v>
      </c>
      <c r="I124" t="s">
        <v>228</v>
      </c>
      <c r="J124" t="s">
        <v>319</v>
      </c>
      <c r="K124" t="s">
        <v>2285</v>
      </c>
      <c r="M124" t="str">
        <f t="shared" si="2"/>
        <v xml:space="preserve"> 0.5819</v>
      </c>
      <c r="P124">
        <v>0.58189999999999997</v>
      </c>
      <c r="Q124">
        <v>8</v>
      </c>
    </row>
    <row r="125" spans="1:17" x14ac:dyDescent="0.2">
      <c r="A125">
        <v>96</v>
      </c>
      <c r="B125" t="s">
        <v>156</v>
      </c>
      <c r="C125" t="s">
        <v>320</v>
      </c>
      <c r="D125">
        <v>-1.0820000000000001</v>
      </c>
      <c r="E125">
        <v>9</v>
      </c>
      <c r="F125" t="s">
        <v>321</v>
      </c>
      <c r="G125" t="s">
        <v>33</v>
      </c>
      <c r="H125" t="s">
        <v>34</v>
      </c>
      <c r="I125" t="s">
        <v>228</v>
      </c>
      <c r="J125" t="s">
        <v>322</v>
      </c>
      <c r="K125" t="s">
        <v>2286</v>
      </c>
      <c r="M125" t="str">
        <f t="shared" si="2"/>
        <v xml:space="preserve"> 0.9972</v>
      </c>
      <c r="P125">
        <v>0.99719999999999998</v>
      </c>
      <c r="Q125">
        <v>9</v>
      </c>
    </row>
    <row r="126" spans="1:17" x14ac:dyDescent="0.2">
      <c r="A126">
        <v>97</v>
      </c>
      <c r="B126" t="s">
        <v>156</v>
      </c>
      <c r="C126" t="s">
        <v>323</v>
      </c>
      <c r="D126">
        <v>-0.88400000000000001</v>
      </c>
      <c r="E126">
        <v>8</v>
      </c>
      <c r="F126" t="s">
        <v>278</v>
      </c>
      <c r="G126" t="s">
        <v>33</v>
      </c>
      <c r="H126" t="s">
        <v>34</v>
      </c>
      <c r="I126" t="s">
        <v>228</v>
      </c>
      <c r="J126" t="s">
        <v>324</v>
      </c>
      <c r="K126" t="s">
        <v>2287</v>
      </c>
      <c r="M126" t="str">
        <f t="shared" si="2"/>
        <v xml:space="preserve"> 0.8318</v>
      </c>
      <c r="P126">
        <v>0.83179999999999998</v>
      </c>
      <c r="Q126">
        <v>8</v>
      </c>
    </row>
    <row r="127" spans="1:17" x14ac:dyDescent="0.2">
      <c r="A127">
        <v>98</v>
      </c>
      <c r="B127" t="s">
        <v>118</v>
      </c>
      <c r="C127" t="s">
        <v>325</v>
      </c>
      <c r="D127">
        <v>-0.69499999999999995</v>
      </c>
      <c r="E127">
        <v>7</v>
      </c>
      <c r="F127" t="s">
        <v>76</v>
      </c>
      <c r="G127" t="s">
        <v>64</v>
      </c>
      <c r="H127" t="s">
        <v>40</v>
      </c>
      <c r="I127" t="s">
        <v>228</v>
      </c>
      <c r="J127" t="s">
        <v>326</v>
      </c>
      <c r="K127" t="s">
        <v>2288</v>
      </c>
      <c r="M127" t="str">
        <f t="shared" si="2"/>
        <v xml:space="preserve"> 0.6997</v>
      </c>
      <c r="P127">
        <v>0.69969999999999999</v>
      </c>
      <c r="Q127">
        <v>7</v>
      </c>
    </row>
    <row r="128" spans="1:17" x14ac:dyDescent="0.2">
      <c r="A128">
        <v>99</v>
      </c>
      <c r="B128" t="s">
        <v>74</v>
      </c>
      <c r="C128" t="s">
        <v>327</v>
      </c>
      <c r="D128">
        <v>-0.376</v>
      </c>
      <c r="E128">
        <v>6</v>
      </c>
      <c r="F128" t="s">
        <v>328</v>
      </c>
      <c r="G128" t="s">
        <v>33</v>
      </c>
      <c r="H128" t="s">
        <v>40</v>
      </c>
      <c r="I128" t="s">
        <v>228</v>
      </c>
      <c r="J128" t="s">
        <v>329</v>
      </c>
      <c r="K128" t="s">
        <v>2289</v>
      </c>
      <c r="M128" t="str">
        <f t="shared" si="2"/>
        <v xml:space="preserve"> 0.8218</v>
      </c>
      <c r="P128">
        <v>0.82179999999999997</v>
      </c>
      <c r="Q128">
        <v>6</v>
      </c>
    </row>
    <row r="129" spans="1:17" x14ac:dyDescent="0.2">
      <c r="A129">
        <v>100</v>
      </c>
      <c r="B129" t="s">
        <v>97</v>
      </c>
      <c r="C129" t="s">
        <v>330</v>
      </c>
      <c r="D129">
        <v>-0.28199999999999997</v>
      </c>
      <c r="E129">
        <v>6</v>
      </c>
      <c r="F129" t="s">
        <v>287</v>
      </c>
      <c r="G129" t="s">
        <v>33</v>
      </c>
      <c r="H129" t="s">
        <v>40</v>
      </c>
      <c r="I129" t="s">
        <v>228</v>
      </c>
      <c r="J129" t="s">
        <v>331</v>
      </c>
      <c r="K129" t="s">
        <v>2290</v>
      </c>
      <c r="M129" t="str">
        <f>RIGHT((LEFT(K129,11)),7)</f>
        <v xml:space="preserve"> 0.4411</v>
      </c>
      <c r="P129">
        <v>0.44109999999999999</v>
      </c>
      <c r="Q129">
        <v>6</v>
      </c>
    </row>
    <row r="130" spans="1:17" x14ac:dyDescent="0.2">
      <c r="A130">
        <v>101</v>
      </c>
      <c r="B130" t="s">
        <v>123</v>
      </c>
      <c r="C130" t="s">
        <v>332</v>
      </c>
      <c r="D130">
        <v>-1.155</v>
      </c>
      <c r="E130">
        <v>9</v>
      </c>
      <c r="F130" t="s">
        <v>178</v>
      </c>
      <c r="G130" t="s">
        <v>33</v>
      </c>
      <c r="H130" t="s">
        <v>34</v>
      </c>
      <c r="I130" t="s">
        <v>228</v>
      </c>
      <c r="J130" t="s">
        <v>333</v>
      </c>
      <c r="K130" t="s">
        <v>2291</v>
      </c>
      <c r="M130" t="str">
        <f t="shared" ref="M130:M175" si="3">RIGHT((LEFT(K130,11)),7)</f>
        <v xml:space="preserve"> 0.2598</v>
      </c>
      <c r="P130">
        <v>0.25979999999999998</v>
      </c>
      <c r="Q130">
        <v>9</v>
      </c>
    </row>
    <row r="131" spans="1:17" x14ac:dyDescent="0.2">
      <c r="A131">
        <v>102</v>
      </c>
      <c r="B131" t="s">
        <v>74</v>
      </c>
      <c r="C131" t="s">
        <v>334</v>
      </c>
      <c r="D131">
        <v>-0.81499999999999995</v>
      </c>
      <c r="E131">
        <v>8</v>
      </c>
      <c r="F131" t="s">
        <v>335</v>
      </c>
      <c r="G131" t="s">
        <v>33</v>
      </c>
      <c r="H131" t="s">
        <v>34</v>
      </c>
      <c r="I131" t="s">
        <v>228</v>
      </c>
      <c r="J131" t="s">
        <v>336</v>
      </c>
      <c r="K131" t="s">
        <v>2292</v>
      </c>
      <c r="M131" t="str">
        <f t="shared" si="3"/>
        <v xml:space="preserve"> 0.2396</v>
      </c>
      <c r="P131">
        <v>0.23960000000000001</v>
      </c>
      <c r="Q131">
        <v>8</v>
      </c>
    </row>
    <row r="132" spans="1:17" x14ac:dyDescent="0.2">
      <c r="A132">
        <v>103</v>
      </c>
      <c r="B132" t="s">
        <v>74</v>
      </c>
      <c r="C132" t="s">
        <v>337</v>
      </c>
      <c r="D132">
        <v>0.23</v>
      </c>
      <c r="E132">
        <v>5</v>
      </c>
      <c r="F132" t="s">
        <v>49</v>
      </c>
      <c r="G132" t="s">
        <v>33</v>
      </c>
      <c r="H132" t="s">
        <v>40</v>
      </c>
      <c r="I132" t="s">
        <v>228</v>
      </c>
      <c r="J132" t="s">
        <v>338</v>
      </c>
      <c r="K132" t="s">
        <v>2293</v>
      </c>
      <c r="M132" t="str">
        <f t="shared" si="3"/>
        <v xml:space="preserve"> 0.6145</v>
      </c>
      <c r="P132">
        <v>0.61450000000000005</v>
      </c>
      <c r="Q132">
        <v>5</v>
      </c>
    </row>
    <row r="133" spans="1:17" x14ac:dyDescent="0.2">
      <c r="A133">
        <v>104</v>
      </c>
      <c r="B133" t="s">
        <v>52</v>
      </c>
      <c r="C133" t="s">
        <v>339</v>
      </c>
      <c r="D133">
        <v>-0.20399999999999999</v>
      </c>
      <c r="E133">
        <v>6</v>
      </c>
      <c r="F133" t="s">
        <v>137</v>
      </c>
      <c r="G133" t="s">
        <v>64</v>
      </c>
      <c r="H133" t="s">
        <v>40</v>
      </c>
      <c r="I133" t="s">
        <v>228</v>
      </c>
      <c r="J133" t="s">
        <v>340</v>
      </c>
      <c r="K133" t="s">
        <v>2294</v>
      </c>
      <c r="M133" t="str">
        <f t="shared" si="3"/>
        <v xml:space="preserve"> 0.6243</v>
      </c>
      <c r="P133">
        <v>0.62429999999999997</v>
      </c>
      <c r="Q133">
        <v>6</v>
      </c>
    </row>
    <row r="134" spans="1:17" x14ac:dyDescent="0.2">
      <c r="A134">
        <v>105</v>
      </c>
      <c r="B134" t="s">
        <v>118</v>
      </c>
      <c r="C134" t="s">
        <v>341</v>
      </c>
      <c r="D134">
        <v>-1.0589999999999999</v>
      </c>
      <c r="E134">
        <v>9</v>
      </c>
      <c r="F134" t="s">
        <v>54</v>
      </c>
      <c r="G134" t="s">
        <v>64</v>
      </c>
      <c r="H134" t="s">
        <v>65</v>
      </c>
      <c r="I134" t="s">
        <v>228</v>
      </c>
      <c r="J134" t="s">
        <v>342</v>
      </c>
      <c r="K134" t="s">
        <v>2295</v>
      </c>
      <c r="M134" t="str">
        <f t="shared" si="3"/>
        <v xml:space="preserve"> 0.3493</v>
      </c>
      <c r="P134">
        <v>0.3493</v>
      </c>
      <c r="Q134">
        <v>9</v>
      </c>
    </row>
    <row r="135" spans="1:17" x14ac:dyDescent="0.2">
      <c r="A135">
        <v>106</v>
      </c>
      <c r="B135" t="s">
        <v>113</v>
      </c>
      <c r="C135" t="s">
        <v>343</v>
      </c>
      <c r="D135">
        <v>0.48899999999999999</v>
      </c>
      <c r="E135">
        <v>4</v>
      </c>
      <c r="F135" t="s">
        <v>110</v>
      </c>
      <c r="G135" t="s">
        <v>64</v>
      </c>
      <c r="H135" t="s">
        <v>40</v>
      </c>
      <c r="I135" t="s">
        <v>228</v>
      </c>
      <c r="J135" t="s">
        <v>344</v>
      </c>
      <c r="K135" t="s">
        <v>2296</v>
      </c>
      <c r="M135" t="str">
        <f t="shared" si="3"/>
        <v xml:space="preserve"> 0.5063</v>
      </c>
      <c r="P135">
        <v>0.50629999999999997</v>
      </c>
      <c r="Q135">
        <v>4</v>
      </c>
    </row>
    <row r="136" spans="1:17" x14ac:dyDescent="0.2">
      <c r="A136">
        <v>107</v>
      </c>
      <c r="B136" t="s">
        <v>156</v>
      </c>
      <c r="C136" t="s">
        <v>345</v>
      </c>
      <c r="D136">
        <v>8.2000000000000003E-2</v>
      </c>
      <c r="E136">
        <v>5</v>
      </c>
      <c r="F136" t="s">
        <v>346</v>
      </c>
      <c r="G136" t="s">
        <v>64</v>
      </c>
      <c r="H136" t="s">
        <v>40</v>
      </c>
      <c r="I136" t="s">
        <v>228</v>
      </c>
      <c r="J136" t="s">
        <v>347</v>
      </c>
      <c r="K136" t="s">
        <v>2297</v>
      </c>
      <c r="M136" t="str">
        <f t="shared" si="3"/>
        <v xml:space="preserve"> 0.5255</v>
      </c>
      <c r="P136">
        <v>0.52549999999999997</v>
      </c>
      <c r="Q136">
        <v>5</v>
      </c>
    </row>
    <row r="137" spans="1:17" x14ac:dyDescent="0.2">
      <c r="A137">
        <v>108</v>
      </c>
      <c r="B137" t="s">
        <v>97</v>
      </c>
      <c r="C137" t="s">
        <v>348</v>
      </c>
      <c r="D137">
        <v>-1.1659999999999999</v>
      </c>
      <c r="E137">
        <v>9</v>
      </c>
      <c r="F137" t="s">
        <v>178</v>
      </c>
      <c r="G137" t="s">
        <v>64</v>
      </c>
      <c r="H137" t="s">
        <v>65</v>
      </c>
      <c r="I137" t="s">
        <v>228</v>
      </c>
      <c r="J137" t="s">
        <v>349</v>
      </c>
      <c r="K137" t="s">
        <v>2298</v>
      </c>
      <c r="M137" t="str">
        <f t="shared" si="3"/>
        <v xml:space="preserve"> 0.5388</v>
      </c>
      <c r="P137">
        <v>0.53879999999999995</v>
      </c>
      <c r="Q137">
        <v>9</v>
      </c>
    </row>
    <row r="138" spans="1:17" x14ac:dyDescent="0.2">
      <c r="A138">
        <v>109</v>
      </c>
      <c r="B138" t="s">
        <v>142</v>
      </c>
      <c r="C138" t="s">
        <v>350</v>
      </c>
      <c r="D138">
        <v>-0.35</v>
      </c>
      <c r="E138">
        <v>6</v>
      </c>
      <c r="F138" t="s">
        <v>203</v>
      </c>
      <c r="G138" t="s">
        <v>64</v>
      </c>
      <c r="H138" t="s">
        <v>40</v>
      </c>
      <c r="I138" t="s">
        <v>228</v>
      </c>
      <c r="J138" t="s">
        <v>351</v>
      </c>
      <c r="K138" t="s">
        <v>2299</v>
      </c>
      <c r="M138" t="str">
        <f t="shared" si="3"/>
        <v xml:space="preserve"> 0.4488</v>
      </c>
      <c r="P138">
        <v>0.44879999999999998</v>
      </c>
      <c r="Q138">
        <v>6</v>
      </c>
    </row>
    <row r="139" spans="1:17" x14ac:dyDescent="0.2">
      <c r="A139">
        <v>110</v>
      </c>
      <c r="B139" t="s">
        <v>43</v>
      </c>
      <c r="C139" t="s">
        <v>352</v>
      </c>
      <c r="D139">
        <v>0.78600000000000003</v>
      </c>
      <c r="E139">
        <v>4</v>
      </c>
      <c r="F139" t="s">
        <v>45</v>
      </c>
      <c r="G139" t="s">
        <v>64</v>
      </c>
      <c r="H139" t="s">
        <v>40</v>
      </c>
      <c r="I139" t="s">
        <v>228</v>
      </c>
      <c r="J139" t="s">
        <v>353</v>
      </c>
      <c r="K139" t="s">
        <v>2300</v>
      </c>
      <c r="M139" t="str">
        <f t="shared" si="3"/>
        <v xml:space="preserve"> 0.6612</v>
      </c>
      <c r="P139">
        <v>0.66120000000000001</v>
      </c>
      <c r="Q139">
        <v>4</v>
      </c>
    </row>
    <row r="140" spans="1:17" x14ac:dyDescent="0.2">
      <c r="A140">
        <v>111</v>
      </c>
      <c r="B140" t="s">
        <v>118</v>
      </c>
      <c r="C140" t="s">
        <v>354</v>
      </c>
      <c r="D140">
        <v>-0.106</v>
      </c>
      <c r="E140">
        <v>5</v>
      </c>
      <c r="F140" t="s">
        <v>238</v>
      </c>
      <c r="G140" t="s">
        <v>64</v>
      </c>
      <c r="H140" t="s">
        <v>40</v>
      </c>
      <c r="I140" t="s">
        <v>228</v>
      </c>
      <c r="J140" t="s">
        <v>355</v>
      </c>
      <c r="K140" t="s">
        <v>2301</v>
      </c>
      <c r="M140" t="str">
        <f t="shared" si="3"/>
        <v xml:space="preserve"> 0.2670</v>
      </c>
      <c r="P140">
        <v>0.26700000000000002</v>
      </c>
      <c r="Q140">
        <v>5</v>
      </c>
    </row>
    <row r="141" spans="1:17" x14ac:dyDescent="0.2">
      <c r="A141">
        <v>112</v>
      </c>
      <c r="B141" t="s">
        <v>156</v>
      </c>
      <c r="C141" t="s">
        <v>356</v>
      </c>
      <c r="D141">
        <v>-1.2390000000000001</v>
      </c>
      <c r="E141">
        <v>9</v>
      </c>
      <c r="F141" t="s">
        <v>357</v>
      </c>
      <c r="G141" t="s">
        <v>64</v>
      </c>
      <c r="H141" t="s">
        <v>65</v>
      </c>
      <c r="I141" t="s">
        <v>228</v>
      </c>
      <c r="J141" t="s">
        <v>358</v>
      </c>
      <c r="K141" t="s">
        <v>2302</v>
      </c>
      <c r="M141" t="str">
        <f t="shared" si="3"/>
        <v xml:space="preserve"> 0.1648</v>
      </c>
      <c r="P141">
        <v>0.1648</v>
      </c>
      <c r="Q141">
        <v>9</v>
      </c>
    </row>
    <row r="142" spans="1:17" x14ac:dyDescent="0.2">
      <c r="A142">
        <v>113</v>
      </c>
      <c r="B142" t="s">
        <v>52</v>
      </c>
      <c r="C142" t="s">
        <v>359</v>
      </c>
      <c r="D142">
        <v>-0.29299999999999998</v>
      </c>
      <c r="E142">
        <v>6</v>
      </c>
      <c r="F142" t="s">
        <v>287</v>
      </c>
      <c r="G142" t="s">
        <v>64</v>
      </c>
      <c r="H142" t="s">
        <v>40</v>
      </c>
      <c r="I142" t="s">
        <v>165</v>
      </c>
      <c r="J142" t="s">
        <v>360</v>
      </c>
      <c r="K142" t="s">
        <v>2303</v>
      </c>
      <c r="M142" t="str">
        <f t="shared" si="3"/>
        <v xml:space="preserve"> 0.2470</v>
      </c>
      <c r="P142">
        <v>0.247</v>
      </c>
      <c r="Q142">
        <v>6</v>
      </c>
    </row>
    <row r="143" spans="1:17" x14ac:dyDescent="0.2">
      <c r="A143">
        <v>114</v>
      </c>
      <c r="B143" t="s">
        <v>94</v>
      </c>
      <c r="C143" t="s">
        <v>361</v>
      </c>
      <c r="D143">
        <v>0.82299999999999995</v>
      </c>
      <c r="E143">
        <v>4</v>
      </c>
      <c r="F143" t="s">
        <v>45</v>
      </c>
      <c r="G143" t="s">
        <v>64</v>
      </c>
      <c r="H143" t="s">
        <v>40</v>
      </c>
      <c r="I143" t="s">
        <v>228</v>
      </c>
      <c r="J143" t="s">
        <v>362</v>
      </c>
      <c r="K143" t="s">
        <v>2304</v>
      </c>
      <c r="M143" t="str">
        <f t="shared" si="3"/>
        <v xml:space="preserve"> 0.4181</v>
      </c>
      <c r="P143">
        <v>0.41810000000000003</v>
      </c>
      <c r="Q143">
        <v>4</v>
      </c>
    </row>
    <row r="144" spans="1:17" x14ac:dyDescent="0.2">
      <c r="A144">
        <v>115</v>
      </c>
      <c r="B144" t="s">
        <v>160</v>
      </c>
      <c r="C144" t="s">
        <v>363</v>
      </c>
      <c r="D144">
        <v>-0.82299999999999995</v>
      </c>
      <c r="E144">
        <v>8</v>
      </c>
      <c r="F144" t="s">
        <v>364</v>
      </c>
      <c r="G144" t="s">
        <v>64</v>
      </c>
      <c r="H144" t="s">
        <v>40</v>
      </c>
      <c r="I144" t="s">
        <v>228</v>
      </c>
      <c r="J144" t="s">
        <v>365</v>
      </c>
      <c r="K144" t="s">
        <v>2305</v>
      </c>
      <c r="M144" t="str">
        <f t="shared" si="3"/>
        <v xml:space="preserve"> 0.2421</v>
      </c>
      <c r="P144">
        <v>0.24210000000000001</v>
      </c>
      <c r="Q144">
        <v>8</v>
      </c>
    </row>
    <row r="145" spans="1:17" x14ac:dyDescent="0.2">
      <c r="A145">
        <v>116</v>
      </c>
      <c r="B145" t="s">
        <v>52</v>
      </c>
      <c r="C145" t="s">
        <v>366</v>
      </c>
      <c r="D145">
        <v>-0.36399999999999999</v>
      </c>
      <c r="E145">
        <v>6</v>
      </c>
      <c r="F145" t="s">
        <v>328</v>
      </c>
      <c r="G145" t="s">
        <v>64</v>
      </c>
      <c r="H145" t="s">
        <v>40</v>
      </c>
      <c r="I145" t="s">
        <v>228</v>
      </c>
      <c r="J145" t="s">
        <v>367</v>
      </c>
      <c r="K145" t="s">
        <v>2306</v>
      </c>
      <c r="M145" t="str">
        <f t="shared" si="3"/>
        <v xml:space="preserve"> 0.8171</v>
      </c>
      <c r="P145">
        <v>0.81710000000000005</v>
      </c>
      <c r="Q145">
        <v>6</v>
      </c>
    </row>
    <row r="146" spans="1:17" x14ac:dyDescent="0.2">
      <c r="A146">
        <v>117</v>
      </c>
      <c r="B146" t="s">
        <v>94</v>
      </c>
      <c r="C146" t="s">
        <v>368</v>
      </c>
      <c r="D146">
        <v>-0.76100000000000001</v>
      </c>
      <c r="E146">
        <v>8</v>
      </c>
      <c r="F146" t="s">
        <v>59</v>
      </c>
      <c r="G146" t="s">
        <v>64</v>
      </c>
      <c r="H146" t="s">
        <v>40</v>
      </c>
      <c r="I146" t="s">
        <v>228</v>
      </c>
      <c r="J146" t="s">
        <v>369</v>
      </c>
      <c r="K146" t="s">
        <v>2307</v>
      </c>
      <c r="M146" t="str">
        <f t="shared" si="3"/>
        <v xml:space="preserve"> 0.7829</v>
      </c>
      <c r="P146">
        <v>0.78290000000000004</v>
      </c>
      <c r="Q146">
        <v>8</v>
      </c>
    </row>
    <row r="147" spans="1:17" x14ac:dyDescent="0.2">
      <c r="A147">
        <v>118</v>
      </c>
      <c r="B147" t="s">
        <v>113</v>
      </c>
      <c r="C147" t="s">
        <v>370</v>
      </c>
      <c r="D147">
        <v>-0.60299999999999998</v>
      </c>
      <c r="E147">
        <v>7</v>
      </c>
      <c r="F147" t="s">
        <v>261</v>
      </c>
      <c r="G147" t="s">
        <v>64</v>
      </c>
      <c r="H147" t="s">
        <v>40</v>
      </c>
      <c r="I147" t="s">
        <v>228</v>
      </c>
      <c r="J147" t="s">
        <v>371</v>
      </c>
      <c r="K147" t="s">
        <v>2308</v>
      </c>
      <c r="M147" t="str">
        <f t="shared" si="3"/>
        <v xml:space="preserve"> 0.3545</v>
      </c>
      <c r="P147">
        <v>0.35449999999999998</v>
      </c>
      <c r="Q147">
        <v>7</v>
      </c>
    </row>
    <row r="148" spans="1:17" x14ac:dyDescent="0.2">
      <c r="A148">
        <v>119</v>
      </c>
      <c r="B148" t="s">
        <v>160</v>
      </c>
      <c r="C148" t="s">
        <v>372</v>
      </c>
      <c r="D148">
        <v>-0.68899999999999995</v>
      </c>
      <c r="E148">
        <v>7</v>
      </c>
      <c r="F148" t="s">
        <v>373</v>
      </c>
      <c r="G148" t="s">
        <v>64</v>
      </c>
      <c r="H148" t="s">
        <v>40</v>
      </c>
      <c r="I148" t="s">
        <v>228</v>
      </c>
      <c r="J148" t="s">
        <v>374</v>
      </c>
      <c r="K148" t="s">
        <v>2309</v>
      </c>
      <c r="M148" t="str">
        <f t="shared" si="3"/>
        <v xml:space="preserve"> 0.3954</v>
      </c>
      <c r="P148">
        <v>0.39539999999999997</v>
      </c>
      <c r="Q148">
        <v>7</v>
      </c>
    </row>
    <row r="149" spans="1:17" x14ac:dyDescent="0.2">
      <c r="A149">
        <v>120</v>
      </c>
      <c r="B149" t="s">
        <v>94</v>
      </c>
      <c r="C149" t="s">
        <v>375</v>
      </c>
      <c r="D149">
        <v>-1.1220000000000001</v>
      </c>
      <c r="E149">
        <v>9</v>
      </c>
      <c r="F149" t="s">
        <v>281</v>
      </c>
      <c r="G149" t="s">
        <v>64</v>
      </c>
      <c r="H149" t="s">
        <v>65</v>
      </c>
      <c r="I149" t="s">
        <v>228</v>
      </c>
      <c r="J149" t="s">
        <v>376</v>
      </c>
      <c r="K149" t="s">
        <v>2310</v>
      </c>
      <c r="M149" t="str">
        <f t="shared" si="3"/>
        <v xml:space="preserve"> 0.4062</v>
      </c>
      <c r="P149">
        <v>0.40620000000000001</v>
      </c>
      <c r="Q149">
        <v>9</v>
      </c>
    </row>
    <row r="150" spans="1:17" x14ac:dyDescent="0.2">
      <c r="A150">
        <v>121</v>
      </c>
      <c r="B150" t="s">
        <v>118</v>
      </c>
      <c r="C150" t="s">
        <v>377</v>
      </c>
      <c r="D150">
        <v>-0.77600000000000002</v>
      </c>
      <c r="E150">
        <v>8</v>
      </c>
      <c r="F150" t="s">
        <v>378</v>
      </c>
      <c r="G150" t="s">
        <v>64</v>
      </c>
      <c r="H150" t="s">
        <v>40</v>
      </c>
      <c r="I150" t="s">
        <v>228</v>
      </c>
      <c r="J150" t="s">
        <v>379</v>
      </c>
      <c r="K150" t="s">
        <v>2311</v>
      </c>
      <c r="M150" t="str">
        <f t="shared" si="3"/>
        <v xml:space="preserve"> 0.4317</v>
      </c>
      <c r="P150">
        <v>0.43169999999999997</v>
      </c>
      <c r="Q150">
        <v>8</v>
      </c>
    </row>
    <row r="151" spans="1:17" x14ac:dyDescent="0.2">
      <c r="A151">
        <v>122</v>
      </c>
      <c r="B151" t="s">
        <v>43</v>
      </c>
      <c r="C151" t="s">
        <v>380</v>
      </c>
      <c r="D151">
        <v>-0.42399999999999999</v>
      </c>
      <c r="E151">
        <v>6</v>
      </c>
      <c r="F151" t="s">
        <v>129</v>
      </c>
      <c r="G151" t="s">
        <v>64</v>
      </c>
      <c r="H151" t="s">
        <v>40</v>
      </c>
      <c r="I151" t="s">
        <v>228</v>
      </c>
      <c r="J151" t="s">
        <v>381</v>
      </c>
      <c r="K151" t="s">
        <v>2312</v>
      </c>
      <c r="M151" t="str">
        <f t="shared" si="3"/>
        <v xml:space="preserve"> 0.3437</v>
      </c>
      <c r="P151">
        <v>0.34370000000000001</v>
      </c>
      <c r="Q151">
        <v>6</v>
      </c>
    </row>
    <row r="152" spans="1:17" x14ac:dyDescent="0.2">
      <c r="A152">
        <v>123</v>
      </c>
      <c r="B152" t="s">
        <v>94</v>
      </c>
      <c r="C152" t="s">
        <v>382</v>
      </c>
      <c r="D152">
        <v>-1.284</v>
      </c>
      <c r="E152">
        <v>9</v>
      </c>
      <c r="F152" t="s">
        <v>235</v>
      </c>
      <c r="G152" t="s">
        <v>64</v>
      </c>
      <c r="H152" t="s">
        <v>65</v>
      </c>
      <c r="I152" t="s">
        <v>228</v>
      </c>
      <c r="J152" t="s">
        <v>383</v>
      </c>
      <c r="K152" t="s">
        <v>2313</v>
      </c>
      <c r="M152" t="str">
        <f t="shared" si="3"/>
        <v xml:space="preserve"> 0.2749</v>
      </c>
      <c r="P152">
        <v>0.27489999999999998</v>
      </c>
      <c r="Q152">
        <v>9</v>
      </c>
    </row>
    <row r="153" spans="1:17" x14ac:dyDescent="0.2">
      <c r="A153">
        <v>124</v>
      </c>
      <c r="B153" t="s">
        <v>233</v>
      </c>
      <c r="C153" t="s">
        <v>384</v>
      </c>
      <c r="D153">
        <v>-1.093</v>
      </c>
      <c r="E153">
        <v>9</v>
      </c>
      <c r="F153" t="s">
        <v>281</v>
      </c>
      <c r="G153" t="s">
        <v>64</v>
      </c>
      <c r="H153" t="s">
        <v>65</v>
      </c>
      <c r="I153" t="s">
        <v>228</v>
      </c>
      <c r="J153" t="s">
        <v>385</v>
      </c>
      <c r="K153" t="s">
        <v>2314</v>
      </c>
      <c r="M153" t="str">
        <f t="shared" si="3"/>
        <v xml:space="preserve"> 0.2853</v>
      </c>
      <c r="P153">
        <v>0.2853</v>
      </c>
      <c r="Q153">
        <v>9</v>
      </c>
    </row>
    <row r="154" spans="1:17" x14ac:dyDescent="0.2">
      <c r="A154">
        <v>125</v>
      </c>
      <c r="B154" t="s">
        <v>57</v>
      </c>
      <c r="C154" t="s">
        <v>386</v>
      </c>
      <c r="D154">
        <v>-0.21</v>
      </c>
      <c r="E154">
        <v>6</v>
      </c>
      <c r="F154" t="s">
        <v>137</v>
      </c>
      <c r="G154" t="s">
        <v>64</v>
      </c>
      <c r="H154" t="s">
        <v>40</v>
      </c>
      <c r="I154" t="s">
        <v>228</v>
      </c>
      <c r="J154" t="s">
        <v>387</v>
      </c>
      <c r="K154" t="s">
        <v>2315</v>
      </c>
      <c r="M154" t="str">
        <f t="shared" si="3"/>
        <v xml:space="preserve"> 0.5970</v>
      </c>
      <c r="P154">
        <v>0.59699999999999998</v>
      </c>
      <c r="Q154">
        <v>6</v>
      </c>
    </row>
    <row r="155" spans="1:17" x14ac:dyDescent="0.2">
      <c r="A155">
        <v>126</v>
      </c>
      <c r="B155" t="s">
        <v>113</v>
      </c>
      <c r="C155" t="s">
        <v>388</v>
      </c>
      <c r="D155">
        <v>-0.96899999999999997</v>
      </c>
      <c r="E155">
        <v>8</v>
      </c>
      <c r="F155" t="s">
        <v>389</v>
      </c>
      <c r="G155" t="s">
        <v>64</v>
      </c>
      <c r="H155" t="s">
        <v>40</v>
      </c>
      <c r="I155" t="s">
        <v>228</v>
      </c>
      <c r="J155" t="s">
        <v>390</v>
      </c>
      <c r="K155" t="s">
        <v>2316</v>
      </c>
      <c r="M155" t="str">
        <f t="shared" si="3"/>
        <v xml:space="preserve"> 0.7767</v>
      </c>
      <c r="P155">
        <v>0.77669999999999995</v>
      </c>
      <c r="Q155">
        <v>8</v>
      </c>
    </row>
    <row r="156" spans="1:17" x14ac:dyDescent="0.2">
      <c r="A156">
        <v>127</v>
      </c>
      <c r="B156" t="s">
        <v>52</v>
      </c>
      <c r="C156" t="s">
        <v>391</v>
      </c>
      <c r="D156">
        <v>-0.35499999999999998</v>
      </c>
      <c r="E156">
        <v>6</v>
      </c>
      <c r="F156" t="s">
        <v>328</v>
      </c>
      <c r="G156" t="s">
        <v>64</v>
      </c>
      <c r="H156" t="s">
        <v>40</v>
      </c>
      <c r="I156" t="s">
        <v>228</v>
      </c>
      <c r="J156" t="s">
        <v>392</v>
      </c>
      <c r="K156" t="s">
        <v>2317</v>
      </c>
      <c r="M156" t="str">
        <f t="shared" si="3"/>
        <v xml:space="preserve"> 1.2651</v>
      </c>
      <c r="P156">
        <v>1.2650999999999999</v>
      </c>
      <c r="Q156">
        <v>6</v>
      </c>
    </row>
    <row r="157" spans="1:17" x14ac:dyDescent="0.2">
      <c r="A157">
        <v>128</v>
      </c>
      <c r="B157" t="s">
        <v>194</v>
      </c>
      <c r="C157" t="s">
        <v>393</v>
      </c>
      <c r="D157">
        <v>-0.68400000000000005</v>
      </c>
      <c r="E157">
        <v>7</v>
      </c>
      <c r="F157" t="s">
        <v>394</v>
      </c>
      <c r="G157" t="s">
        <v>33</v>
      </c>
      <c r="H157" t="s">
        <v>40</v>
      </c>
      <c r="I157" t="s">
        <v>228</v>
      </c>
      <c r="J157" t="s">
        <v>395</v>
      </c>
      <c r="K157" t="s">
        <v>2318</v>
      </c>
      <c r="M157" t="str">
        <f t="shared" si="3"/>
        <v xml:space="preserve"> 1.6102</v>
      </c>
      <c r="P157">
        <v>1.6102000000000001</v>
      </c>
      <c r="Q157">
        <v>7</v>
      </c>
    </row>
    <row r="158" spans="1:17" x14ac:dyDescent="0.2">
      <c r="A158">
        <v>129</v>
      </c>
      <c r="B158" t="s">
        <v>127</v>
      </c>
      <c r="C158" t="s">
        <v>396</v>
      </c>
      <c r="D158">
        <v>-0.71299999999999997</v>
      </c>
      <c r="E158">
        <v>7</v>
      </c>
      <c r="F158" t="s">
        <v>316</v>
      </c>
      <c r="G158" t="s">
        <v>33</v>
      </c>
      <c r="H158" t="s">
        <v>40</v>
      </c>
      <c r="I158" t="s">
        <v>228</v>
      </c>
      <c r="J158" t="s">
        <v>397</v>
      </c>
      <c r="K158" t="s">
        <v>2319</v>
      </c>
      <c r="M158" t="str">
        <f t="shared" si="3"/>
        <v xml:space="preserve"> 1.6879</v>
      </c>
      <c r="P158">
        <v>1.6879</v>
      </c>
      <c r="Q158">
        <v>7</v>
      </c>
    </row>
    <row r="159" spans="1:17" x14ac:dyDescent="0.2">
      <c r="A159">
        <v>130</v>
      </c>
      <c r="B159" t="s">
        <v>160</v>
      </c>
      <c r="C159" t="s">
        <v>398</v>
      </c>
      <c r="D159">
        <v>-1.2350000000000001</v>
      </c>
      <c r="E159">
        <v>9</v>
      </c>
      <c r="F159" t="s">
        <v>399</v>
      </c>
      <c r="G159" t="s">
        <v>33</v>
      </c>
      <c r="H159" t="s">
        <v>34</v>
      </c>
      <c r="I159" t="s">
        <v>228</v>
      </c>
      <c r="J159" t="s">
        <v>400</v>
      </c>
      <c r="K159" t="s">
        <v>2320</v>
      </c>
      <c r="M159" t="str">
        <f t="shared" si="3"/>
        <v xml:space="preserve"> 1.9012</v>
      </c>
      <c r="P159">
        <v>1.9012</v>
      </c>
      <c r="Q159">
        <v>9</v>
      </c>
    </row>
    <row r="160" spans="1:17" x14ac:dyDescent="0.2">
      <c r="A160">
        <v>131</v>
      </c>
      <c r="B160" t="s">
        <v>127</v>
      </c>
      <c r="C160" t="s">
        <v>401</v>
      </c>
      <c r="D160">
        <v>0</v>
      </c>
      <c r="E160">
        <v>5</v>
      </c>
      <c r="F160" t="s">
        <v>87</v>
      </c>
      <c r="G160" t="s">
        <v>33</v>
      </c>
      <c r="H160" t="s">
        <v>40</v>
      </c>
      <c r="I160" t="s">
        <v>228</v>
      </c>
      <c r="J160" t="s">
        <v>402</v>
      </c>
      <c r="K160" t="s">
        <v>2321</v>
      </c>
      <c r="M160" t="str">
        <f t="shared" si="3"/>
        <v xml:space="preserve"> 2.5075</v>
      </c>
      <c r="P160">
        <v>2.5074999999999998</v>
      </c>
      <c r="Q160">
        <v>5</v>
      </c>
    </row>
    <row r="161" spans="1:17" x14ac:dyDescent="0.2">
      <c r="A161">
        <v>132</v>
      </c>
      <c r="B161" t="s">
        <v>118</v>
      </c>
      <c r="C161" t="s">
        <v>403</v>
      </c>
      <c r="D161">
        <v>0.74</v>
      </c>
      <c r="E161">
        <v>4</v>
      </c>
      <c r="F161" t="s">
        <v>45</v>
      </c>
      <c r="G161" t="s">
        <v>33</v>
      </c>
      <c r="H161" t="s">
        <v>40</v>
      </c>
      <c r="I161" t="s">
        <v>228</v>
      </c>
      <c r="J161" t="s">
        <v>404</v>
      </c>
      <c r="K161" t="s">
        <v>2322</v>
      </c>
      <c r="M161" t="str">
        <f t="shared" si="3"/>
        <v xml:space="preserve"> 2.5759</v>
      </c>
      <c r="P161">
        <v>2.5758999999999999</v>
      </c>
      <c r="Q161">
        <v>4</v>
      </c>
    </row>
    <row r="162" spans="1:17" x14ac:dyDescent="0.2">
      <c r="A162">
        <v>133</v>
      </c>
      <c r="B162" t="s">
        <v>156</v>
      </c>
      <c r="C162" t="s">
        <v>405</v>
      </c>
      <c r="D162">
        <v>-0.61299999999999999</v>
      </c>
      <c r="E162">
        <v>7</v>
      </c>
      <c r="F162" t="s">
        <v>173</v>
      </c>
      <c r="G162" t="s">
        <v>33</v>
      </c>
      <c r="H162" t="s">
        <v>40</v>
      </c>
      <c r="I162" t="s">
        <v>228</v>
      </c>
      <c r="J162" t="s">
        <v>406</v>
      </c>
      <c r="K162" t="s">
        <v>2323</v>
      </c>
      <c r="M162" t="str">
        <f t="shared" si="3"/>
        <v xml:space="preserve"> 2.8873</v>
      </c>
      <c r="P162">
        <v>2.8873000000000002</v>
      </c>
      <c r="Q162">
        <v>7</v>
      </c>
    </row>
    <row r="163" spans="1:17" x14ac:dyDescent="0.2">
      <c r="A163">
        <v>134</v>
      </c>
      <c r="B163" t="s">
        <v>74</v>
      </c>
      <c r="C163" t="s">
        <v>407</v>
      </c>
      <c r="D163">
        <v>2.7450000000000001</v>
      </c>
      <c r="E163">
        <v>1</v>
      </c>
      <c r="F163" t="s">
        <v>105</v>
      </c>
      <c r="G163" t="s">
        <v>33</v>
      </c>
      <c r="H163" t="s">
        <v>40</v>
      </c>
      <c r="I163" t="s">
        <v>207</v>
      </c>
      <c r="J163" t="s">
        <v>408</v>
      </c>
      <c r="K163" t="s">
        <v>2324</v>
      </c>
      <c r="M163" t="str">
        <f t="shared" si="3"/>
        <v xml:space="preserve"> 2.5028</v>
      </c>
      <c r="P163">
        <v>2.5028000000000001</v>
      </c>
      <c r="Q163">
        <v>1</v>
      </c>
    </row>
    <row r="164" spans="1:17" x14ac:dyDescent="0.2">
      <c r="A164">
        <v>135</v>
      </c>
      <c r="B164" t="s">
        <v>101</v>
      </c>
      <c r="C164" t="s">
        <v>409</v>
      </c>
      <c r="D164">
        <v>2.9319999999999999</v>
      </c>
      <c r="E164">
        <v>1</v>
      </c>
      <c r="F164" t="s">
        <v>105</v>
      </c>
      <c r="G164" t="s">
        <v>33</v>
      </c>
      <c r="H164" t="s">
        <v>40</v>
      </c>
      <c r="I164" t="s">
        <v>207</v>
      </c>
      <c r="J164" t="s">
        <v>410</v>
      </c>
      <c r="K164" t="s">
        <v>2325</v>
      </c>
      <c r="M164" t="str">
        <f t="shared" si="3"/>
        <v xml:space="preserve"> 1.9061</v>
      </c>
      <c r="P164">
        <v>1.9060999999999999</v>
      </c>
      <c r="Q164">
        <v>1</v>
      </c>
    </row>
    <row r="165" spans="1:17" x14ac:dyDescent="0.2">
      <c r="A165">
        <v>136</v>
      </c>
      <c r="B165" t="s">
        <v>74</v>
      </c>
      <c r="C165" t="s">
        <v>411</v>
      </c>
      <c r="D165">
        <v>2.5499999999999998</v>
      </c>
      <c r="E165">
        <v>1</v>
      </c>
      <c r="F165" t="s">
        <v>231</v>
      </c>
      <c r="G165" t="s">
        <v>33</v>
      </c>
      <c r="H165" t="s">
        <v>40</v>
      </c>
      <c r="I165" t="s">
        <v>412</v>
      </c>
      <c r="J165" t="s">
        <v>413</v>
      </c>
      <c r="K165" t="s">
        <v>2326</v>
      </c>
      <c r="M165" t="str">
        <f t="shared" si="3"/>
        <v xml:space="preserve"> 6.1610</v>
      </c>
      <c r="P165">
        <v>6.1609999999999996</v>
      </c>
      <c r="Q165">
        <v>1</v>
      </c>
    </row>
    <row r="166" spans="1:17" x14ac:dyDescent="0.2">
      <c r="A166">
        <v>137</v>
      </c>
      <c r="B166" t="s">
        <v>97</v>
      </c>
      <c r="C166" t="s">
        <v>414</v>
      </c>
      <c r="D166">
        <v>1.0609999999999999</v>
      </c>
      <c r="E166">
        <v>3</v>
      </c>
      <c r="F166" t="s">
        <v>415</v>
      </c>
      <c r="G166" t="s">
        <v>33</v>
      </c>
      <c r="H166" t="s">
        <v>40</v>
      </c>
      <c r="I166" t="s">
        <v>416</v>
      </c>
      <c r="J166" t="s">
        <v>417</v>
      </c>
      <c r="K166" t="s">
        <v>2327</v>
      </c>
      <c r="M166" t="str">
        <f t="shared" si="3"/>
        <v xml:space="preserve"> 8.9315</v>
      </c>
      <c r="P166">
        <v>8.9314999999999998</v>
      </c>
      <c r="Q166">
        <v>3</v>
      </c>
    </row>
    <row r="167" spans="1:17" x14ac:dyDescent="0.2">
      <c r="A167">
        <v>138</v>
      </c>
      <c r="B167" t="s">
        <v>194</v>
      </c>
      <c r="C167" t="s">
        <v>418</v>
      </c>
      <c r="D167">
        <v>-0.13700000000000001</v>
      </c>
      <c r="E167">
        <v>5</v>
      </c>
      <c r="F167" t="s">
        <v>284</v>
      </c>
      <c r="G167" t="s">
        <v>33</v>
      </c>
      <c r="H167" t="s">
        <v>40</v>
      </c>
      <c r="I167" t="s">
        <v>419</v>
      </c>
      <c r="J167" t="s">
        <v>420</v>
      </c>
      <c r="K167" t="s">
        <v>2328</v>
      </c>
      <c r="M167" t="str">
        <f t="shared" si="3"/>
        <v xml:space="preserve"> 7.6992</v>
      </c>
      <c r="P167">
        <v>7.6992000000000003</v>
      </c>
      <c r="Q167">
        <v>5</v>
      </c>
    </row>
    <row r="168" spans="1:17" x14ac:dyDescent="0.2">
      <c r="A168">
        <v>139</v>
      </c>
      <c r="B168" t="s">
        <v>101</v>
      </c>
      <c r="C168" t="s">
        <v>421</v>
      </c>
      <c r="D168">
        <v>2.3340000000000001</v>
      </c>
      <c r="E168">
        <v>1</v>
      </c>
      <c r="F168" t="s">
        <v>231</v>
      </c>
      <c r="G168" t="s">
        <v>33</v>
      </c>
      <c r="H168" t="s">
        <v>40</v>
      </c>
      <c r="I168" t="s">
        <v>162</v>
      </c>
      <c r="J168" t="s">
        <v>422</v>
      </c>
      <c r="K168" t="s">
        <v>2329</v>
      </c>
      <c r="M168" t="str">
        <f t="shared" si="3"/>
        <v xml:space="preserve"> 7.0890</v>
      </c>
      <c r="P168">
        <v>7.0890000000000004</v>
      </c>
      <c r="Q168">
        <v>1</v>
      </c>
    </row>
    <row r="169" spans="1:17" x14ac:dyDescent="0.2">
      <c r="A169">
        <v>140</v>
      </c>
      <c r="B169" t="s">
        <v>113</v>
      </c>
      <c r="C169" t="s">
        <v>423</v>
      </c>
      <c r="D169">
        <v>1.734</v>
      </c>
      <c r="E169">
        <v>2</v>
      </c>
      <c r="F169" t="s">
        <v>225</v>
      </c>
      <c r="G169" t="s">
        <v>33</v>
      </c>
      <c r="H169" t="s">
        <v>40</v>
      </c>
      <c r="I169" t="s">
        <v>207</v>
      </c>
      <c r="J169" t="s">
        <v>424</v>
      </c>
      <c r="K169" t="s">
        <v>2330</v>
      </c>
      <c r="M169" t="str">
        <f t="shared" si="3"/>
        <v xml:space="preserve"> 4.2476</v>
      </c>
      <c r="P169">
        <v>4.2476000000000003</v>
      </c>
      <c r="Q169">
        <v>2</v>
      </c>
    </row>
    <row r="170" spans="1:17" x14ac:dyDescent="0.2">
      <c r="A170">
        <v>141</v>
      </c>
      <c r="B170" t="s">
        <v>194</v>
      </c>
      <c r="C170" t="s">
        <v>425</v>
      </c>
      <c r="D170">
        <v>2.2719999999999998</v>
      </c>
      <c r="E170">
        <v>2</v>
      </c>
      <c r="F170" t="s">
        <v>231</v>
      </c>
      <c r="G170" t="s">
        <v>33</v>
      </c>
      <c r="H170" t="s">
        <v>40</v>
      </c>
      <c r="I170" t="s">
        <v>207</v>
      </c>
      <c r="J170" t="s">
        <v>426</v>
      </c>
      <c r="K170" t="s">
        <v>2331</v>
      </c>
      <c r="M170" t="str">
        <f t="shared" si="3"/>
        <v xml:space="preserve"> 2.8482</v>
      </c>
      <c r="P170">
        <v>2.8481999999999998</v>
      </c>
      <c r="Q170">
        <v>2</v>
      </c>
    </row>
    <row r="171" spans="1:17" x14ac:dyDescent="0.2">
      <c r="A171">
        <v>142</v>
      </c>
      <c r="B171" t="s">
        <v>37</v>
      </c>
      <c r="C171" t="s">
        <v>427</v>
      </c>
      <c r="D171">
        <v>0.96499999999999997</v>
      </c>
      <c r="E171">
        <v>4</v>
      </c>
      <c r="F171" t="s">
        <v>206</v>
      </c>
      <c r="G171" t="s">
        <v>33</v>
      </c>
      <c r="H171" t="s">
        <v>40</v>
      </c>
      <c r="I171" t="s">
        <v>228</v>
      </c>
      <c r="J171" t="s">
        <v>428</v>
      </c>
      <c r="K171" t="s">
        <v>2332</v>
      </c>
      <c r="M171" t="str">
        <f t="shared" si="3"/>
        <v xml:space="preserve"> 4.2597</v>
      </c>
      <c r="P171">
        <v>4.2596999999999996</v>
      </c>
      <c r="Q171">
        <v>4</v>
      </c>
    </row>
    <row r="172" spans="1:17" x14ac:dyDescent="0.2">
      <c r="A172">
        <v>143</v>
      </c>
      <c r="B172" t="s">
        <v>43</v>
      </c>
      <c r="C172" t="s">
        <v>429</v>
      </c>
      <c r="D172">
        <v>-0.01</v>
      </c>
      <c r="E172">
        <v>5</v>
      </c>
      <c r="F172" t="s">
        <v>87</v>
      </c>
      <c r="G172" t="s">
        <v>33</v>
      </c>
      <c r="H172" t="s">
        <v>40</v>
      </c>
      <c r="I172" t="s">
        <v>228</v>
      </c>
      <c r="J172" t="s">
        <v>430</v>
      </c>
      <c r="K172" t="s">
        <v>2333</v>
      </c>
      <c r="M172" t="str">
        <f t="shared" si="3"/>
        <v xml:space="preserve"> 3.9126</v>
      </c>
      <c r="P172">
        <v>3.9125999999999999</v>
      </c>
      <c r="Q172">
        <v>5</v>
      </c>
    </row>
    <row r="173" spans="1:17" x14ac:dyDescent="0.2">
      <c r="A173">
        <v>144</v>
      </c>
      <c r="B173" t="s">
        <v>108</v>
      </c>
      <c r="C173" t="s">
        <v>431</v>
      </c>
      <c r="D173">
        <v>0.151</v>
      </c>
      <c r="E173">
        <v>5</v>
      </c>
      <c r="F173" t="s">
        <v>309</v>
      </c>
      <c r="G173" t="s">
        <v>33</v>
      </c>
      <c r="H173" t="s">
        <v>40</v>
      </c>
      <c r="I173" t="s">
        <v>165</v>
      </c>
      <c r="J173" t="s">
        <v>432</v>
      </c>
      <c r="K173" t="s">
        <v>2334</v>
      </c>
      <c r="M173" t="str">
        <f t="shared" si="3"/>
        <v xml:space="preserve"> 3.9778</v>
      </c>
      <c r="P173">
        <v>3.9777999999999998</v>
      </c>
      <c r="Q173">
        <v>5</v>
      </c>
    </row>
    <row r="174" spans="1:17" x14ac:dyDescent="0.2">
      <c r="A174">
        <v>145</v>
      </c>
      <c r="B174" t="s">
        <v>97</v>
      </c>
      <c r="C174" t="s">
        <v>433</v>
      </c>
      <c r="D174">
        <v>-0.76600000000000001</v>
      </c>
      <c r="E174">
        <v>8</v>
      </c>
      <c r="F174" t="s">
        <v>378</v>
      </c>
      <c r="G174" t="s">
        <v>33</v>
      </c>
      <c r="H174" t="s">
        <v>34</v>
      </c>
      <c r="I174" t="s">
        <v>228</v>
      </c>
      <c r="J174" t="s">
        <v>434</v>
      </c>
      <c r="K174" t="s">
        <v>2335</v>
      </c>
      <c r="M174" t="str">
        <f t="shared" si="3"/>
        <v xml:space="preserve"> 3.0404</v>
      </c>
      <c r="P174">
        <v>3.0404</v>
      </c>
      <c r="Q174">
        <v>8</v>
      </c>
    </row>
    <row r="175" spans="1:17" x14ac:dyDescent="0.2">
      <c r="A175">
        <v>146</v>
      </c>
      <c r="B175" t="s">
        <v>52</v>
      </c>
      <c r="C175" t="s">
        <v>435</v>
      </c>
      <c r="D175">
        <v>-1.0429999999999999</v>
      </c>
      <c r="E175">
        <v>9</v>
      </c>
      <c r="F175" t="s">
        <v>54</v>
      </c>
      <c r="G175" t="s">
        <v>64</v>
      </c>
      <c r="H175" t="s">
        <v>65</v>
      </c>
      <c r="I175" t="s">
        <v>228</v>
      </c>
      <c r="J175" t="s">
        <v>436</v>
      </c>
      <c r="K175" t="s">
        <v>2336</v>
      </c>
      <c r="M175" t="str">
        <f t="shared" si="3"/>
        <v xml:space="preserve"> 2.4125</v>
      </c>
      <c r="P175">
        <v>2.4125000000000001</v>
      </c>
      <c r="Q175">
        <v>9</v>
      </c>
    </row>
    <row r="176" spans="1:17" x14ac:dyDescent="0.2">
      <c r="A176">
        <v>147</v>
      </c>
      <c r="B176" t="s">
        <v>52</v>
      </c>
      <c r="C176" t="s">
        <v>437</v>
      </c>
      <c r="D176">
        <v>-0.84599999999999997</v>
      </c>
      <c r="E176">
        <v>8</v>
      </c>
      <c r="F176" t="s">
        <v>140</v>
      </c>
      <c r="G176" t="s">
        <v>64</v>
      </c>
      <c r="H176" t="s">
        <v>40</v>
      </c>
      <c r="I176" t="s">
        <v>228</v>
      </c>
      <c r="J176" t="s">
        <v>438</v>
      </c>
      <c r="K176" t="s">
        <v>2337</v>
      </c>
      <c r="Q176">
        <v>8</v>
      </c>
    </row>
    <row r="177" spans="1:17" x14ac:dyDescent="0.2">
      <c r="A177">
        <v>148</v>
      </c>
      <c r="B177" t="s">
        <v>123</v>
      </c>
      <c r="C177" t="s">
        <v>439</v>
      </c>
      <c r="D177">
        <v>-0.67700000000000005</v>
      </c>
      <c r="E177">
        <v>7</v>
      </c>
      <c r="F177" t="s">
        <v>76</v>
      </c>
      <c r="G177" t="s">
        <v>33</v>
      </c>
      <c r="H177" t="s">
        <v>40</v>
      </c>
      <c r="I177" t="s">
        <v>228</v>
      </c>
      <c r="J177" t="s">
        <v>440</v>
      </c>
      <c r="K177" t="s">
        <v>2338</v>
      </c>
      <c r="Q177">
        <v>7</v>
      </c>
    </row>
    <row r="178" spans="1:17" x14ac:dyDescent="0.2">
      <c r="A178">
        <v>149</v>
      </c>
      <c r="B178" t="s">
        <v>52</v>
      </c>
      <c r="C178" t="s">
        <v>441</v>
      </c>
      <c r="D178">
        <v>-0.871</v>
      </c>
      <c r="E178">
        <v>8</v>
      </c>
      <c r="F178" t="s">
        <v>278</v>
      </c>
      <c r="G178" t="s">
        <v>64</v>
      </c>
      <c r="H178" t="s">
        <v>40</v>
      </c>
      <c r="I178" t="s">
        <v>228</v>
      </c>
      <c r="J178" t="s">
        <v>442</v>
      </c>
      <c r="K178" t="s">
        <v>2339</v>
      </c>
      <c r="Q178">
        <v>8</v>
      </c>
    </row>
    <row r="179" spans="1:17" x14ac:dyDescent="0.2">
      <c r="A179">
        <v>150</v>
      </c>
      <c r="B179" t="s">
        <v>52</v>
      </c>
      <c r="C179" t="s">
        <v>443</v>
      </c>
      <c r="D179">
        <v>-0.73499999999999999</v>
      </c>
      <c r="E179">
        <v>8</v>
      </c>
      <c r="F179" t="s">
        <v>316</v>
      </c>
      <c r="G179" t="s">
        <v>64</v>
      </c>
      <c r="H179" t="s">
        <v>40</v>
      </c>
      <c r="I179" t="s">
        <v>228</v>
      </c>
      <c r="J179" t="s">
        <v>444</v>
      </c>
      <c r="K179" t="s">
        <v>2340</v>
      </c>
      <c r="Q179">
        <v>8</v>
      </c>
    </row>
    <row r="180" spans="1:17" x14ac:dyDescent="0.2">
      <c r="A180">
        <v>151</v>
      </c>
      <c r="B180" t="s">
        <v>142</v>
      </c>
      <c r="C180" t="s">
        <v>445</v>
      </c>
      <c r="D180">
        <v>-0.95</v>
      </c>
      <c r="E180">
        <v>8</v>
      </c>
      <c r="F180" t="s">
        <v>181</v>
      </c>
      <c r="G180" t="s">
        <v>64</v>
      </c>
      <c r="H180" t="s">
        <v>40</v>
      </c>
      <c r="I180" t="s">
        <v>228</v>
      </c>
      <c r="J180" t="s">
        <v>446</v>
      </c>
      <c r="K180" t="s">
        <v>2341</v>
      </c>
      <c r="Q180">
        <v>8</v>
      </c>
    </row>
    <row r="181" spans="1:17" x14ac:dyDescent="0.2">
      <c r="A181">
        <v>152</v>
      </c>
      <c r="B181" t="s">
        <v>52</v>
      </c>
      <c r="C181" t="s">
        <v>447</v>
      </c>
      <c r="D181">
        <v>-0.128</v>
      </c>
      <c r="E181">
        <v>5</v>
      </c>
      <c r="F181" t="s">
        <v>238</v>
      </c>
      <c r="G181" t="s">
        <v>64</v>
      </c>
      <c r="H181" t="s">
        <v>40</v>
      </c>
      <c r="I181" t="s">
        <v>228</v>
      </c>
      <c r="J181" t="s">
        <v>448</v>
      </c>
      <c r="K181" t="s">
        <v>2342</v>
      </c>
      <c r="Q181">
        <v>5</v>
      </c>
    </row>
    <row r="182" spans="1:17" x14ac:dyDescent="0.2">
      <c r="A182">
        <v>153</v>
      </c>
      <c r="B182" t="s">
        <v>94</v>
      </c>
      <c r="C182" t="s">
        <v>449</v>
      </c>
      <c r="D182">
        <v>-1.284</v>
      </c>
      <c r="E182">
        <v>9</v>
      </c>
      <c r="F182" t="s">
        <v>235</v>
      </c>
      <c r="G182" t="s">
        <v>64</v>
      </c>
      <c r="H182" t="s">
        <v>65</v>
      </c>
      <c r="I182" t="s">
        <v>228</v>
      </c>
      <c r="J182" t="s">
        <v>383</v>
      </c>
      <c r="K182" t="s">
        <v>2343</v>
      </c>
      <c r="Q182">
        <v>9</v>
      </c>
    </row>
    <row r="183" spans="1:17" x14ac:dyDescent="0.2">
      <c r="A183">
        <v>154</v>
      </c>
      <c r="B183" t="s">
        <v>156</v>
      </c>
      <c r="C183" t="s">
        <v>450</v>
      </c>
      <c r="D183">
        <v>-0.60899999999999999</v>
      </c>
      <c r="E183">
        <v>7</v>
      </c>
      <c r="F183" t="s">
        <v>173</v>
      </c>
      <c r="G183" t="s">
        <v>64</v>
      </c>
      <c r="H183" t="s">
        <v>40</v>
      </c>
      <c r="I183" t="s">
        <v>228</v>
      </c>
      <c r="J183" t="s">
        <v>451</v>
      </c>
      <c r="K183" t="s">
        <v>2344</v>
      </c>
      <c r="Q183">
        <v>7</v>
      </c>
    </row>
    <row r="184" spans="1:17" x14ac:dyDescent="0.2">
      <c r="A184">
        <v>155</v>
      </c>
      <c r="B184" t="s">
        <v>94</v>
      </c>
      <c r="C184" t="s">
        <v>452</v>
      </c>
      <c r="D184">
        <v>-1.121</v>
      </c>
      <c r="E184">
        <v>9</v>
      </c>
      <c r="F184" t="s">
        <v>281</v>
      </c>
      <c r="G184" t="s">
        <v>64</v>
      </c>
      <c r="H184" t="s">
        <v>65</v>
      </c>
      <c r="I184" t="s">
        <v>228</v>
      </c>
      <c r="J184" t="s">
        <v>453</v>
      </c>
      <c r="K184" t="s">
        <v>2345</v>
      </c>
      <c r="Q184">
        <v>9</v>
      </c>
    </row>
    <row r="185" spans="1:17" x14ac:dyDescent="0.2">
      <c r="A185">
        <v>156</v>
      </c>
      <c r="B185" t="s">
        <v>94</v>
      </c>
      <c r="C185" t="s">
        <v>454</v>
      </c>
      <c r="D185">
        <v>-1.0660000000000001</v>
      </c>
      <c r="E185">
        <v>9</v>
      </c>
      <c r="F185" t="s">
        <v>132</v>
      </c>
      <c r="G185" t="s">
        <v>64</v>
      </c>
      <c r="H185" t="s">
        <v>65</v>
      </c>
      <c r="I185" t="s">
        <v>228</v>
      </c>
      <c r="J185" t="s">
        <v>455</v>
      </c>
      <c r="K185" t="s">
        <v>2346</v>
      </c>
      <c r="Q185">
        <v>9</v>
      </c>
    </row>
    <row r="186" spans="1:17" x14ac:dyDescent="0.2">
      <c r="A186">
        <v>157</v>
      </c>
      <c r="B186" t="s">
        <v>156</v>
      </c>
      <c r="C186" t="s">
        <v>456</v>
      </c>
      <c r="D186">
        <v>-1.24</v>
      </c>
      <c r="E186">
        <v>9</v>
      </c>
      <c r="F186" t="s">
        <v>457</v>
      </c>
      <c r="G186" t="s">
        <v>64</v>
      </c>
      <c r="H186" t="s">
        <v>65</v>
      </c>
      <c r="I186" t="s">
        <v>228</v>
      </c>
      <c r="J186" t="s">
        <v>458</v>
      </c>
      <c r="K186" t="s">
        <v>2347</v>
      </c>
      <c r="Q186">
        <v>9</v>
      </c>
    </row>
    <row r="187" spans="1:17" x14ac:dyDescent="0.2">
      <c r="A187">
        <v>158</v>
      </c>
      <c r="B187" t="s">
        <v>142</v>
      </c>
      <c r="C187" t="s">
        <v>459</v>
      </c>
      <c r="D187">
        <v>-0.71099999999999997</v>
      </c>
      <c r="E187">
        <v>7</v>
      </c>
      <c r="F187" t="s">
        <v>316</v>
      </c>
      <c r="G187" t="s">
        <v>64</v>
      </c>
      <c r="H187" t="s">
        <v>40</v>
      </c>
      <c r="I187" t="s">
        <v>228</v>
      </c>
      <c r="J187" t="s">
        <v>460</v>
      </c>
      <c r="K187" t="s">
        <v>2348</v>
      </c>
      <c r="Q187">
        <v>7</v>
      </c>
    </row>
    <row r="188" spans="1:17" x14ac:dyDescent="0.2">
      <c r="A188">
        <v>159</v>
      </c>
      <c r="B188" t="s">
        <v>94</v>
      </c>
      <c r="C188" t="s">
        <v>461</v>
      </c>
      <c r="D188">
        <v>0.42299999999999999</v>
      </c>
      <c r="E188">
        <v>4</v>
      </c>
      <c r="F188" t="s">
        <v>267</v>
      </c>
      <c r="G188" t="s">
        <v>64</v>
      </c>
      <c r="H188" t="s">
        <v>40</v>
      </c>
      <c r="I188" t="s">
        <v>228</v>
      </c>
      <c r="J188" t="s">
        <v>462</v>
      </c>
      <c r="K188" t="s">
        <v>2349</v>
      </c>
      <c r="Q188">
        <v>4</v>
      </c>
    </row>
    <row r="189" spans="1:17" x14ac:dyDescent="0.2">
      <c r="A189">
        <v>160</v>
      </c>
      <c r="B189" t="s">
        <v>108</v>
      </c>
      <c r="C189" t="s">
        <v>463</v>
      </c>
      <c r="D189">
        <v>-0.28399999999999997</v>
      </c>
      <c r="E189">
        <v>6</v>
      </c>
      <c r="F189" t="s">
        <v>287</v>
      </c>
      <c r="G189" t="s">
        <v>64</v>
      </c>
      <c r="H189" t="s">
        <v>40</v>
      </c>
      <c r="I189" t="s">
        <v>228</v>
      </c>
      <c r="J189" t="s">
        <v>464</v>
      </c>
      <c r="K189" t="s">
        <v>2350</v>
      </c>
      <c r="Q189">
        <v>6</v>
      </c>
    </row>
    <row r="190" spans="1:17" x14ac:dyDescent="0.2">
      <c r="A190">
        <v>161</v>
      </c>
      <c r="B190" t="s">
        <v>160</v>
      </c>
      <c r="C190" t="s">
        <v>465</v>
      </c>
      <c r="D190">
        <v>-0.91800000000000004</v>
      </c>
      <c r="E190">
        <v>8</v>
      </c>
      <c r="F190" t="s">
        <v>466</v>
      </c>
      <c r="G190" t="s">
        <v>64</v>
      </c>
      <c r="H190" t="s">
        <v>40</v>
      </c>
      <c r="I190" t="s">
        <v>228</v>
      </c>
      <c r="J190" t="s">
        <v>467</v>
      </c>
      <c r="K190" t="s">
        <v>2351</v>
      </c>
      <c r="Q190">
        <v>8</v>
      </c>
    </row>
    <row r="191" spans="1:17" x14ac:dyDescent="0.2">
      <c r="A191">
        <v>162</v>
      </c>
      <c r="B191" t="s">
        <v>52</v>
      </c>
      <c r="C191" t="s">
        <v>468</v>
      </c>
      <c r="D191">
        <v>0.29599999999999999</v>
      </c>
      <c r="E191">
        <v>5</v>
      </c>
      <c r="F191" t="s">
        <v>91</v>
      </c>
      <c r="G191" t="s">
        <v>64</v>
      </c>
      <c r="H191" t="s">
        <v>40</v>
      </c>
      <c r="I191" t="s">
        <v>469</v>
      </c>
      <c r="J191" t="s">
        <v>470</v>
      </c>
      <c r="K191" t="s">
        <v>2352</v>
      </c>
      <c r="Q191">
        <v>5</v>
      </c>
    </row>
    <row r="192" spans="1:17" x14ac:dyDescent="0.2">
      <c r="A192">
        <v>163</v>
      </c>
      <c r="B192" t="s">
        <v>43</v>
      </c>
      <c r="C192" t="s">
        <v>471</v>
      </c>
      <c r="D192">
        <v>2.0590000000000002</v>
      </c>
      <c r="E192">
        <v>2</v>
      </c>
      <c r="F192" t="s">
        <v>231</v>
      </c>
      <c r="G192" t="s">
        <v>64</v>
      </c>
      <c r="H192" t="s">
        <v>40</v>
      </c>
      <c r="I192" t="s">
        <v>162</v>
      </c>
      <c r="J192" t="s">
        <v>472</v>
      </c>
      <c r="K192" t="s">
        <v>2353</v>
      </c>
      <c r="Q192">
        <v>2</v>
      </c>
    </row>
    <row r="193" spans="1:17" x14ac:dyDescent="0.2">
      <c r="A193">
        <v>164</v>
      </c>
      <c r="B193" t="s">
        <v>127</v>
      </c>
      <c r="C193" t="s">
        <v>473</v>
      </c>
      <c r="D193">
        <v>0.23799999999999999</v>
      </c>
      <c r="E193">
        <v>5</v>
      </c>
      <c r="F193" t="s">
        <v>49</v>
      </c>
      <c r="G193" t="s">
        <v>64</v>
      </c>
      <c r="H193" t="s">
        <v>40</v>
      </c>
      <c r="I193" t="s">
        <v>220</v>
      </c>
      <c r="J193" t="s">
        <v>474</v>
      </c>
      <c r="K193" t="s">
        <v>2354</v>
      </c>
      <c r="Q193">
        <v>5</v>
      </c>
    </row>
    <row r="194" spans="1:17" x14ac:dyDescent="0.2">
      <c r="A194">
        <v>165</v>
      </c>
      <c r="B194" t="s">
        <v>52</v>
      </c>
      <c r="C194" t="s">
        <v>475</v>
      </c>
      <c r="D194">
        <v>-0.13900000000000001</v>
      </c>
      <c r="E194">
        <v>5</v>
      </c>
      <c r="F194" t="s">
        <v>238</v>
      </c>
      <c r="G194" t="s">
        <v>64</v>
      </c>
      <c r="H194" t="s">
        <v>40</v>
      </c>
      <c r="I194" t="s">
        <v>476</v>
      </c>
      <c r="J194" t="s">
        <v>477</v>
      </c>
      <c r="K194" t="s">
        <v>2355</v>
      </c>
      <c r="Q194">
        <v>5</v>
      </c>
    </row>
    <row r="195" spans="1:17" x14ac:dyDescent="0.2">
      <c r="A195">
        <v>166</v>
      </c>
      <c r="B195" t="s">
        <v>118</v>
      </c>
      <c r="C195" t="s">
        <v>478</v>
      </c>
      <c r="D195">
        <v>1.1879999999999999</v>
      </c>
      <c r="E195">
        <v>3</v>
      </c>
      <c r="F195" t="s">
        <v>415</v>
      </c>
      <c r="G195" t="s">
        <v>64</v>
      </c>
      <c r="H195" t="s">
        <v>40</v>
      </c>
      <c r="I195" t="s">
        <v>476</v>
      </c>
      <c r="J195" t="s">
        <v>479</v>
      </c>
      <c r="K195" t="s">
        <v>2356</v>
      </c>
      <c r="Q195">
        <v>3</v>
      </c>
    </row>
    <row r="196" spans="1:17" x14ac:dyDescent="0.2">
      <c r="A196">
        <v>167</v>
      </c>
      <c r="B196" t="s">
        <v>113</v>
      </c>
      <c r="C196" t="s">
        <v>480</v>
      </c>
      <c r="D196">
        <v>0.53400000000000003</v>
      </c>
      <c r="E196">
        <v>4</v>
      </c>
      <c r="F196" t="s">
        <v>110</v>
      </c>
      <c r="G196" t="s">
        <v>64</v>
      </c>
      <c r="H196" t="s">
        <v>40</v>
      </c>
      <c r="I196" t="s">
        <v>481</v>
      </c>
      <c r="J196" t="s">
        <v>482</v>
      </c>
      <c r="K196" t="s">
        <v>2357</v>
      </c>
      <c r="Q196">
        <v>4</v>
      </c>
    </row>
    <row r="197" spans="1:17" x14ac:dyDescent="0.2">
      <c r="A197">
        <v>168</v>
      </c>
      <c r="B197" t="s">
        <v>52</v>
      </c>
      <c r="C197" t="s">
        <v>483</v>
      </c>
      <c r="D197">
        <v>-0.94099999999999995</v>
      </c>
      <c r="E197">
        <v>8</v>
      </c>
      <c r="F197" t="s">
        <v>484</v>
      </c>
      <c r="G197" t="s">
        <v>64</v>
      </c>
      <c r="H197" t="s">
        <v>40</v>
      </c>
      <c r="I197" t="s">
        <v>481</v>
      </c>
      <c r="J197" t="s">
        <v>485</v>
      </c>
      <c r="K197" t="s">
        <v>2358</v>
      </c>
      <c r="Q197">
        <v>8</v>
      </c>
    </row>
    <row r="198" spans="1:17" x14ac:dyDescent="0.2">
      <c r="A198">
        <v>169</v>
      </c>
      <c r="B198" t="s">
        <v>94</v>
      </c>
      <c r="C198" t="s">
        <v>486</v>
      </c>
      <c r="D198">
        <v>1.8580000000000001</v>
      </c>
      <c r="E198">
        <v>2</v>
      </c>
      <c r="F198" t="s">
        <v>225</v>
      </c>
      <c r="G198" t="s">
        <v>64</v>
      </c>
      <c r="H198" t="s">
        <v>40</v>
      </c>
      <c r="I198" t="s">
        <v>158</v>
      </c>
      <c r="J198" t="s">
        <v>487</v>
      </c>
      <c r="K198" t="s">
        <v>2359</v>
      </c>
      <c r="Q198">
        <v>2</v>
      </c>
    </row>
    <row r="199" spans="1:17" x14ac:dyDescent="0.2">
      <c r="A199">
        <v>170</v>
      </c>
      <c r="B199" t="s">
        <v>127</v>
      </c>
      <c r="C199" t="s">
        <v>488</v>
      </c>
      <c r="D199">
        <v>1.264</v>
      </c>
      <c r="E199">
        <v>3</v>
      </c>
      <c r="F199" t="s">
        <v>120</v>
      </c>
      <c r="G199" t="s">
        <v>33</v>
      </c>
      <c r="H199" t="s">
        <v>40</v>
      </c>
      <c r="I199" t="s">
        <v>215</v>
      </c>
      <c r="J199" t="s">
        <v>489</v>
      </c>
      <c r="K199" t="s">
        <v>2360</v>
      </c>
      <c r="Q199">
        <v>3</v>
      </c>
    </row>
    <row r="200" spans="1:17" x14ac:dyDescent="0.2">
      <c r="A200">
        <v>171</v>
      </c>
      <c r="B200" t="s">
        <v>123</v>
      </c>
      <c r="C200" t="s">
        <v>490</v>
      </c>
      <c r="D200">
        <v>-0.86</v>
      </c>
      <c r="E200">
        <v>8</v>
      </c>
      <c r="F200" t="s">
        <v>200</v>
      </c>
      <c r="G200" t="s">
        <v>33</v>
      </c>
      <c r="H200" t="s">
        <v>34</v>
      </c>
      <c r="I200" t="s">
        <v>215</v>
      </c>
      <c r="J200" t="s">
        <v>491</v>
      </c>
      <c r="K200" t="s">
        <v>2361</v>
      </c>
      <c r="Q200">
        <v>8</v>
      </c>
    </row>
    <row r="201" spans="1:17" x14ac:dyDescent="0.2">
      <c r="A201">
        <v>172</v>
      </c>
      <c r="B201" t="s">
        <v>57</v>
      </c>
      <c r="C201" t="s">
        <v>492</v>
      </c>
      <c r="D201">
        <v>0.80700000000000005</v>
      </c>
      <c r="E201">
        <v>4</v>
      </c>
      <c r="F201" t="s">
        <v>45</v>
      </c>
      <c r="G201" t="s">
        <v>64</v>
      </c>
      <c r="H201" t="s">
        <v>40</v>
      </c>
      <c r="I201" t="s">
        <v>215</v>
      </c>
      <c r="J201" t="s">
        <v>493</v>
      </c>
      <c r="K201" t="s">
        <v>2362</v>
      </c>
      <c r="Q201">
        <v>4</v>
      </c>
    </row>
    <row r="202" spans="1:17" x14ac:dyDescent="0.2">
      <c r="A202">
        <v>173</v>
      </c>
      <c r="B202" t="s">
        <v>127</v>
      </c>
      <c r="C202" t="s">
        <v>494</v>
      </c>
      <c r="D202">
        <v>-0.10100000000000001</v>
      </c>
      <c r="E202">
        <v>5</v>
      </c>
      <c r="F202" t="s">
        <v>238</v>
      </c>
      <c r="G202" t="s">
        <v>33</v>
      </c>
      <c r="H202" t="s">
        <v>40</v>
      </c>
      <c r="I202" t="s">
        <v>495</v>
      </c>
      <c r="J202" t="s">
        <v>496</v>
      </c>
      <c r="K202" t="s">
        <v>2363</v>
      </c>
      <c r="Q202">
        <v>5</v>
      </c>
    </row>
    <row r="203" spans="1:17" x14ac:dyDescent="0.2">
      <c r="A203">
        <v>174</v>
      </c>
      <c r="B203" t="s">
        <v>142</v>
      </c>
      <c r="C203" t="s">
        <v>497</v>
      </c>
      <c r="D203">
        <v>-4.7E-2</v>
      </c>
      <c r="E203">
        <v>5</v>
      </c>
      <c r="F203" t="s">
        <v>238</v>
      </c>
      <c r="G203" t="s">
        <v>33</v>
      </c>
      <c r="H203" t="s">
        <v>40</v>
      </c>
      <c r="I203" t="s">
        <v>498</v>
      </c>
      <c r="J203" t="s">
        <v>499</v>
      </c>
      <c r="K203" t="s">
        <v>2364</v>
      </c>
      <c r="Q203">
        <v>5</v>
      </c>
    </row>
    <row r="204" spans="1:17" x14ac:dyDescent="0.2">
      <c r="A204">
        <v>175</v>
      </c>
      <c r="B204" t="s">
        <v>43</v>
      </c>
      <c r="C204" t="s">
        <v>500</v>
      </c>
      <c r="D204">
        <v>-0.96099999999999997</v>
      </c>
      <c r="E204">
        <v>8</v>
      </c>
      <c r="F204" t="s">
        <v>389</v>
      </c>
      <c r="G204" t="s">
        <v>33</v>
      </c>
      <c r="H204" t="s">
        <v>34</v>
      </c>
      <c r="I204" t="s">
        <v>498</v>
      </c>
      <c r="J204" t="s">
        <v>501</v>
      </c>
      <c r="K204" t="s">
        <v>2365</v>
      </c>
      <c r="Q204">
        <v>8</v>
      </c>
    </row>
    <row r="205" spans="1:17" x14ac:dyDescent="0.2">
      <c r="A205">
        <v>176</v>
      </c>
      <c r="B205" t="s">
        <v>52</v>
      </c>
      <c r="C205" t="s">
        <v>502</v>
      </c>
      <c r="D205">
        <v>-0.28799999999999998</v>
      </c>
      <c r="E205">
        <v>6</v>
      </c>
      <c r="F205" t="s">
        <v>287</v>
      </c>
      <c r="G205" t="s">
        <v>64</v>
      </c>
      <c r="H205" t="s">
        <v>40</v>
      </c>
      <c r="I205" t="s">
        <v>106</v>
      </c>
      <c r="J205" t="s">
        <v>503</v>
      </c>
      <c r="K205" t="s">
        <v>2366</v>
      </c>
      <c r="Q205">
        <v>6</v>
      </c>
    </row>
    <row r="206" spans="1:17" x14ac:dyDescent="0.2">
      <c r="A206">
        <v>177</v>
      </c>
      <c r="B206" t="s">
        <v>97</v>
      </c>
      <c r="C206" t="s">
        <v>504</v>
      </c>
      <c r="D206">
        <v>0.71599999999999997</v>
      </c>
      <c r="E206">
        <v>4</v>
      </c>
      <c r="F206" t="s">
        <v>45</v>
      </c>
      <c r="G206" t="s">
        <v>33</v>
      </c>
      <c r="H206" t="s">
        <v>40</v>
      </c>
      <c r="I206" t="s">
        <v>106</v>
      </c>
      <c r="J206" t="s">
        <v>505</v>
      </c>
      <c r="K206" t="s">
        <v>2367</v>
      </c>
      <c r="Q206">
        <v>4</v>
      </c>
    </row>
    <row r="207" spans="1:17" x14ac:dyDescent="0.2">
      <c r="A207">
        <v>178</v>
      </c>
      <c r="B207" t="s">
        <v>156</v>
      </c>
      <c r="C207" t="s">
        <v>506</v>
      </c>
      <c r="D207">
        <v>0.51400000000000001</v>
      </c>
      <c r="E207">
        <v>4</v>
      </c>
      <c r="F207" t="s">
        <v>110</v>
      </c>
      <c r="G207" t="s">
        <v>33</v>
      </c>
      <c r="H207" t="s">
        <v>40</v>
      </c>
      <c r="I207" t="s">
        <v>116</v>
      </c>
      <c r="J207" t="s">
        <v>507</v>
      </c>
      <c r="K207" t="s">
        <v>2368</v>
      </c>
      <c r="Q207">
        <v>4</v>
      </c>
    </row>
    <row r="208" spans="1:17" x14ac:dyDescent="0.2">
      <c r="A208">
        <v>179</v>
      </c>
      <c r="B208" t="s">
        <v>52</v>
      </c>
      <c r="C208" t="s">
        <v>508</v>
      </c>
      <c r="D208">
        <v>-0.19700000000000001</v>
      </c>
      <c r="E208">
        <v>6</v>
      </c>
      <c r="F208" t="s">
        <v>137</v>
      </c>
      <c r="G208" t="s">
        <v>64</v>
      </c>
      <c r="H208" t="s">
        <v>40</v>
      </c>
      <c r="I208" t="s">
        <v>509</v>
      </c>
      <c r="J208" t="s">
        <v>510</v>
      </c>
      <c r="K208" t="s">
        <v>2369</v>
      </c>
      <c r="Q208">
        <v>6</v>
      </c>
    </row>
    <row r="209" spans="1:17" x14ac:dyDescent="0.2">
      <c r="A209">
        <v>180</v>
      </c>
      <c r="B209" t="s">
        <v>113</v>
      </c>
      <c r="C209" t="s">
        <v>511</v>
      </c>
      <c r="D209">
        <v>0.20899999999999999</v>
      </c>
      <c r="E209">
        <v>5</v>
      </c>
      <c r="F209" t="s">
        <v>512</v>
      </c>
      <c r="G209" t="s">
        <v>64</v>
      </c>
      <c r="H209" t="s">
        <v>40</v>
      </c>
      <c r="I209" t="s">
        <v>513</v>
      </c>
      <c r="J209" t="s">
        <v>514</v>
      </c>
      <c r="K209" t="s">
        <v>2370</v>
      </c>
      <c r="Q209">
        <v>5</v>
      </c>
    </row>
    <row r="210" spans="1:17" x14ac:dyDescent="0.2">
      <c r="A210">
        <v>181</v>
      </c>
      <c r="B210" t="s">
        <v>94</v>
      </c>
      <c r="C210" t="s">
        <v>515</v>
      </c>
      <c r="D210">
        <v>-0.622</v>
      </c>
      <c r="E210">
        <v>7</v>
      </c>
      <c r="F210" t="s">
        <v>261</v>
      </c>
      <c r="G210" t="s">
        <v>64</v>
      </c>
      <c r="H210" t="s">
        <v>40</v>
      </c>
      <c r="I210" t="s">
        <v>516</v>
      </c>
      <c r="J210" t="s">
        <v>517</v>
      </c>
      <c r="K210" t="s">
        <v>2371</v>
      </c>
      <c r="Q210">
        <v>7</v>
      </c>
    </row>
    <row r="211" spans="1:17" x14ac:dyDescent="0.2">
      <c r="A211">
        <v>182</v>
      </c>
      <c r="B211" t="s">
        <v>156</v>
      </c>
      <c r="C211" t="s">
        <v>518</v>
      </c>
      <c r="D211">
        <v>0.54100000000000004</v>
      </c>
      <c r="E211">
        <v>4</v>
      </c>
      <c r="F211" t="s">
        <v>110</v>
      </c>
      <c r="G211" t="s">
        <v>33</v>
      </c>
      <c r="H211" t="s">
        <v>40</v>
      </c>
      <c r="I211" t="s">
        <v>516</v>
      </c>
      <c r="J211" t="s">
        <v>519</v>
      </c>
      <c r="K211" t="s">
        <v>2372</v>
      </c>
      <c r="Q211">
        <v>4</v>
      </c>
    </row>
    <row r="212" spans="1:17" x14ac:dyDescent="0.2">
      <c r="A212">
        <v>183</v>
      </c>
      <c r="B212" t="s">
        <v>127</v>
      </c>
      <c r="C212" t="s">
        <v>520</v>
      </c>
      <c r="D212">
        <v>0.73899999999999999</v>
      </c>
      <c r="E212">
        <v>4</v>
      </c>
      <c r="F212" t="s">
        <v>45</v>
      </c>
      <c r="G212" t="s">
        <v>33</v>
      </c>
      <c r="H212" t="s">
        <v>40</v>
      </c>
      <c r="I212" t="s">
        <v>516</v>
      </c>
      <c r="J212" t="s">
        <v>521</v>
      </c>
      <c r="K212" t="s">
        <v>2373</v>
      </c>
      <c r="Q212">
        <v>4</v>
      </c>
    </row>
    <row r="213" spans="1:17" x14ac:dyDescent="0.2">
      <c r="A213">
        <v>184</v>
      </c>
      <c r="B213" t="s">
        <v>97</v>
      </c>
      <c r="C213" t="s">
        <v>522</v>
      </c>
      <c r="D213">
        <v>0.72399999999999998</v>
      </c>
      <c r="E213">
        <v>4</v>
      </c>
      <c r="F213" t="s">
        <v>45</v>
      </c>
      <c r="G213" t="s">
        <v>33</v>
      </c>
      <c r="H213" t="s">
        <v>40</v>
      </c>
      <c r="I213" t="s">
        <v>111</v>
      </c>
      <c r="J213" t="s">
        <v>523</v>
      </c>
      <c r="K213" t="s">
        <v>2374</v>
      </c>
      <c r="Q213">
        <v>4</v>
      </c>
    </row>
    <row r="214" spans="1:17" x14ac:dyDescent="0.2">
      <c r="A214">
        <v>185</v>
      </c>
      <c r="B214" t="s">
        <v>57</v>
      </c>
      <c r="C214" t="s">
        <v>524</v>
      </c>
      <c r="D214">
        <v>-0.39200000000000002</v>
      </c>
      <c r="E214">
        <v>6</v>
      </c>
      <c r="F214" t="s">
        <v>129</v>
      </c>
      <c r="G214" t="s">
        <v>33</v>
      </c>
      <c r="H214" t="s">
        <v>40</v>
      </c>
      <c r="I214" t="s">
        <v>116</v>
      </c>
      <c r="J214" t="s">
        <v>525</v>
      </c>
      <c r="K214" t="s">
        <v>2375</v>
      </c>
      <c r="Q214">
        <v>6</v>
      </c>
    </row>
    <row r="215" spans="1:17" x14ac:dyDescent="0.2">
      <c r="A215">
        <v>186</v>
      </c>
      <c r="B215" t="s">
        <v>30</v>
      </c>
      <c r="C215" t="s">
        <v>526</v>
      </c>
      <c r="D215">
        <v>1.147</v>
      </c>
      <c r="E215">
        <v>3</v>
      </c>
      <c r="F215" t="s">
        <v>415</v>
      </c>
      <c r="G215" t="s">
        <v>33</v>
      </c>
      <c r="H215" t="s">
        <v>40</v>
      </c>
      <c r="I215" t="s">
        <v>116</v>
      </c>
      <c r="J215" t="s">
        <v>527</v>
      </c>
      <c r="K215" t="s">
        <v>2376</v>
      </c>
      <c r="Q215">
        <v>3</v>
      </c>
    </row>
    <row r="216" spans="1:17" x14ac:dyDescent="0.2">
      <c r="A216">
        <v>187</v>
      </c>
      <c r="B216" t="s">
        <v>97</v>
      </c>
      <c r="C216" t="s">
        <v>528</v>
      </c>
      <c r="D216">
        <v>-0.23799999999999999</v>
      </c>
      <c r="E216">
        <v>6</v>
      </c>
      <c r="F216" t="s">
        <v>529</v>
      </c>
      <c r="G216" t="s">
        <v>33</v>
      </c>
      <c r="H216" t="s">
        <v>40</v>
      </c>
      <c r="I216" t="s">
        <v>84</v>
      </c>
      <c r="J216" t="s">
        <v>530</v>
      </c>
      <c r="K216" t="s">
        <v>2377</v>
      </c>
      <c r="Q216">
        <v>6</v>
      </c>
    </row>
    <row r="217" spans="1:17" x14ac:dyDescent="0.2">
      <c r="A217">
        <v>188</v>
      </c>
      <c r="B217" t="s">
        <v>101</v>
      </c>
      <c r="C217" t="s">
        <v>531</v>
      </c>
      <c r="D217">
        <v>-0.27600000000000002</v>
      </c>
      <c r="E217">
        <v>6</v>
      </c>
      <c r="F217" t="s">
        <v>529</v>
      </c>
      <c r="G217" t="s">
        <v>33</v>
      </c>
      <c r="H217" t="s">
        <v>40</v>
      </c>
      <c r="I217" t="s">
        <v>532</v>
      </c>
      <c r="J217" t="s">
        <v>533</v>
      </c>
      <c r="Q217">
        <v>6</v>
      </c>
    </row>
    <row r="218" spans="1:17" x14ac:dyDescent="0.2">
      <c r="A218">
        <v>189</v>
      </c>
      <c r="B218" t="s">
        <v>156</v>
      </c>
      <c r="C218" t="s">
        <v>534</v>
      </c>
      <c r="D218">
        <v>0.93300000000000005</v>
      </c>
      <c r="E218">
        <v>4</v>
      </c>
      <c r="F218" t="s">
        <v>206</v>
      </c>
      <c r="G218" t="s">
        <v>33</v>
      </c>
      <c r="H218" t="s">
        <v>40</v>
      </c>
      <c r="I218" t="s">
        <v>516</v>
      </c>
      <c r="J218" t="s">
        <v>535</v>
      </c>
      <c r="Q218">
        <v>4</v>
      </c>
    </row>
    <row r="219" spans="1:17" x14ac:dyDescent="0.2">
      <c r="A219">
        <v>190</v>
      </c>
      <c r="B219" t="s">
        <v>127</v>
      </c>
      <c r="C219" t="s">
        <v>536</v>
      </c>
      <c r="D219">
        <v>1.0720000000000001</v>
      </c>
      <c r="E219">
        <v>3</v>
      </c>
      <c r="F219" t="s">
        <v>415</v>
      </c>
      <c r="G219" t="s">
        <v>33</v>
      </c>
      <c r="H219" t="s">
        <v>40</v>
      </c>
      <c r="I219" t="s">
        <v>50</v>
      </c>
      <c r="J219" t="s">
        <v>537</v>
      </c>
      <c r="Q219">
        <v>3</v>
      </c>
    </row>
    <row r="220" spans="1:17" x14ac:dyDescent="0.2">
      <c r="A220">
        <v>191</v>
      </c>
      <c r="B220" t="s">
        <v>97</v>
      </c>
      <c r="C220" t="s">
        <v>538</v>
      </c>
      <c r="D220">
        <v>0.57899999999999996</v>
      </c>
      <c r="E220">
        <v>4</v>
      </c>
      <c r="F220" t="s">
        <v>110</v>
      </c>
      <c r="G220" t="s">
        <v>33</v>
      </c>
      <c r="H220" t="s">
        <v>40</v>
      </c>
      <c r="I220" t="s">
        <v>50</v>
      </c>
      <c r="J220" t="s">
        <v>539</v>
      </c>
      <c r="Q220">
        <v>4</v>
      </c>
    </row>
    <row r="221" spans="1:17" x14ac:dyDescent="0.2">
      <c r="A221">
        <v>192</v>
      </c>
      <c r="B221" t="s">
        <v>156</v>
      </c>
      <c r="C221" t="s">
        <v>540</v>
      </c>
      <c r="D221">
        <v>1.2749999999999999</v>
      </c>
      <c r="E221">
        <v>3</v>
      </c>
      <c r="F221" t="s">
        <v>120</v>
      </c>
      <c r="G221" t="s">
        <v>33</v>
      </c>
      <c r="H221" t="s">
        <v>40</v>
      </c>
      <c r="I221" t="s">
        <v>92</v>
      </c>
      <c r="J221" t="s">
        <v>541</v>
      </c>
      <c r="Q221">
        <v>3</v>
      </c>
    </row>
    <row r="222" spans="1:17" x14ac:dyDescent="0.2">
      <c r="A222">
        <v>193</v>
      </c>
      <c r="B222" t="s">
        <v>156</v>
      </c>
      <c r="C222" t="s">
        <v>542</v>
      </c>
      <c r="D222">
        <v>1.502</v>
      </c>
      <c r="E222">
        <v>3</v>
      </c>
      <c r="F222" t="s">
        <v>120</v>
      </c>
      <c r="G222" t="s">
        <v>33</v>
      </c>
      <c r="H222" t="s">
        <v>40</v>
      </c>
      <c r="I222" t="s">
        <v>92</v>
      </c>
      <c r="J222" t="s">
        <v>543</v>
      </c>
      <c r="Q222">
        <v>3</v>
      </c>
    </row>
    <row r="223" spans="1:17" x14ac:dyDescent="0.2">
      <c r="A223">
        <v>194</v>
      </c>
      <c r="B223" t="s">
        <v>30</v>
      </c>
      <c r="C223" t="s">
        <v>544</v>
      </c>
      <c r="D223">
        <v>0.23400000000000001</v>
      </c>
      <c r="E223">
        <v>5</v>
      </c>
      <c r="F223" t="s">
        <v>49</v>
      </c>
      <c r="G223" t="s">
        <v>33</v>
      </c>
      <c r="H223" t="s">
        <v>40</v>
      </c>
      <c r="I223" t="s">
        <v>92</v>
      </c>
      <c r="J223" t="s">
        <v>545</v>
      </c>
      <c r="Q223">
        <v>5</v>
      </c>
    </row>
    <row r="224" spans="1:17" x14ac:dyDescent="0.2">
      <c r="A224">
        <v>195</v>
      </c>
      <c r="B224" t="s">
        <v>101</v>
      </c>
      <c r="C224" t="s">
        <v>546</v>
      </c>
      <c r="D224">
        <v>1.2999999999999999E-2</v>
      </c>
      <c r="E224">
        <v>5</v>
      </c>
      <c r="F224" t="s">
        <v>87</v>
      </c>
      <c r="G224" t="s">
        <v>33</v>
      </c>
      <c r="H224" t="s">
        <v>40</v>
      </c>
      <c r="I224" t="s">
        <v>92</v>
      </c>
      <c r="J224" t="s">
        <v>547</v>
      </c>
      <c r="Q224">
        <v>5</v>
      </c>
    </row>
    <row r="225" spans="1:17" x14ac:dyDescent="0.2">
      <c r="A225">
        <v>196</v>
      </c>
      <c r="B225" t="s">
        <v>57</v>
      </c>
      <c r="C225" t="s">
        <v>548</v>
      </c>
      <c r="D225">
        <v>-0.54800000000000004</v>
      </c>
      <c r="E225">
        <v>7</v>
      </c>
      <c r="F225" t="s">
        <v>184</v>
      </c>
      <c r="G225" t="s">
        <v>33</v>
      </c>
      <c r="H225" t="s">
        <v>40</v>
      </c>
      <c r="I225" t="s">
        <v>92</v>
      </c>
      <c r="J225" t="s">
        <v>549</v>
      </c>
      <c r="Q225">
        <v>7</v>
      </c>
    </row>
    <row r="226" spans="1:17" x14ac:dyDescent="0.2">
      <c r="A226">
        <v>197</v>
      </c>
      <c r="B226" t="s">
        <v>52</v>
      </c>
      <c r="C226" t="s">
        <v>550</v>
      </c>
      <c r="D226">
        <v>-0.23300000000000001</v>
      </c>
      <c r="E226">
        <v>6</v>
      </c>
      <c r="F226" t="s">
        <v>137</v>
      </c>
      <c r="G226" t="s">
        <v>33</v>
      </c>
      <c r="H226" t="s">
        <v>40</v>
      </c>
      <c r="I226" t="s">
        <v>84</v>
      </c>
      <c r="J226" t="s">
        <v>551</v>
      </c>
      <c r="Q226">
        <v>6</v>
      </c>
    </row>
    <row r="227" spans="1:17" x14ac:dyDescent="0.2">
      <c r="A227">
        <v>198</v>
      </c>
      <c r="B227" t="s">
        <v>101</v>
      </c>
      <c r="C227" t="s">
        <v>552</v>
      </c>
      <c r="D227">
        <v>-0.16600000000000001</v>
      </c>
      <c r="E227">
        <v>6</v>
      </c>
      <c r="F227" t="s">
        <v>137</v>
      </c>
      <c r="G227" t="s">
        <v>33</v>
      </c>
      <c r="H227" t="s">
        <v>40</v>
      </c>
      <c r="I227" t="s">
        <v>66</v>
      </c>
      <c r="J227" t="s">
        <v>553</v>
      </c>
      <c r="Q227">
        <v>6</v>
      </c>
    </row>
    <row r="228" spans="1:17" x14ac:dyDescent="0.2">
      <c r="A228">
        <v>199</v>
      </c>
      <c r="B228" t="s">
        <v>57</v>
      </c>
      <c r="C228" t="s">
        <v>554</v>
      </c>
      <c r="D228">
        <v>5.1999999999999998E-2</v>
      </c>
      <c r="E228">
        <v>5</v>
      </c>
      <c r="F228" t="s">
        <v>87</v>
      </c>
      <c r="G228" t="s">
        <v>33</v>
      </c>
      <c r="H228" t="s">
        <v>40</v>
      </c>
      <c r="I228" t="s">
        <v>80</v>
      </c>
      <c r="J228" t="s">
        <v>555</v>
      </c>
      <c r="Q228">
        <v>5</v>
      </c>
    </row>
    <row r="229" spans="1:17" x14ac:dyDescent="0.2">
      <c r="A229">
        <v>200</v>
      </c>
      <c r="B229" t="s">
        <v>118</v>
      </c>
      <c r="C229" t="s">
        <v>556</v>
      </c>
      <c r="D229">
        <v>-0.41399999999999998</v>
      </c>
      <c r="E229">
        <v>6</v>
      </c>
      <c r="F229" t="s">
        <v>129</v>
      </c>
      <c r="G229" t="s">
        <v>33</v>
      </c>
      <c r="H229" t="s">
        <v>40</v>
      </c>
      <c r="I229" t="s">
        <v>50</v>
      </c>
      <c r="J229" t="s">
        <v>557</v>
      </c>
      <c r="Q229">
        <v>6</v>
      </c>
    </row>
    <row r="230" spans="1:17" x14ac:dyDescent="0.2">
      <c r="A230">
        <v>201</v>
      </c>
      <c r="B230" t="s">
        <v>37</v>
      </c>
      <c r="C230" t="s">
        <v>558</v>
      </c>
      <c r="D230">
        <v>1.1619999999999999</v>
      </c>
      <c r="E230">
        <v>3</v>
      </c>
      <c r="F230" t="s">
        <v>415</v>
      </c>
      <c r="G230" t="s">
        <v>33</v>
      </c>
      <c r="H230" t="s">
        <v>40</v>
      </c>
      <c r="I230" t="s">
        <v>50</v>
      </c>
      <c r="J230" t="s">
        <v>559</v>
      </c>
      <c r="Q230">
        <v>3</v>
      </c>
    </row>
    <row r="231" spans="1:17" x14ac:dyDescent="0.2">
      <c r="A231">
        <v>202</v>
      </c>
      <c r="B231" t="s">
        <v>101</v>
      </c>
      <c r="C231" t="s">
        <v>560</v>
      </c>
      <c r="D231">
        <v>0.46899999999999997</v>
      </c>
      <c r="E231">
        <v>4</v>
      </c>
      <c r="F231" t="s">
        <v>146</v>
      </c>
      <c r="G231" t="s">
        <v>33</v>
      </c>
      <c r="H231" t="s">
        <v>40</v>
      </c>
      <c r="I231" t="s">
        <v>561</v>
      </c>
      <c r="J231" t="s">
        <v>562</v>
      </c>
      <c r="Q231">
        <v>4</v>
      </c>
    </row>
    <row r="232" spans="1:17" x14ac:dyDescent="0.2">
      <c r="A232">
        <v>203</v>
      </c>
      <c r="B232" t="s">
        <v>108</v>
      </c>
      <c r="C232" t="s">
        <v>563</v>
      </c>
      <c r="D232">
        <v>1.004</v>
      </c>
      <c r="E232">
        <v>3</v>
      </c>
      <c r="F232" t="s">
        <v>564</v>
      </c>
      <c r="G232" t="s">
        <v>33</v>
      </c>
      <c r="H232" t="s">
        <v>40</v>
      </c>
      <c r="I232" t="s">
        <v>565</v>
      </c>
      <c r="J232" t="s">
        <v>566</v>
      </c>
      <c r="Q232">
        <v>3</v>
      </c>
    </row>
    <row r="233" spans="1:17" x14ac:dyDescent="0.2">
      <c r="A233">
        <v>204</v>
      </c>
      <c r="B233" t="s">
        <v>43</v>
      </c>
      <c r="C233" t="s">
        <v>567</v>
      </c>
      <c r="D233">
        <v>1.284</v>
      </c>
      <c r="E233">
        <v>3</v>
      </c>
      <c r="F233" t="s">
        <v>415</v>
      </c>
      <c r="G233" t="s">
        <v>33</v>
      </c>
      <c r="H233" t="s">
        <v>40</v>
      </c>
      <c r="I233" t="s">
        <v>568</v>
      </c>
      <c r="J233" t="s">
        <v>569</v>
      </c>
      <c r="Q233">
        <v>3</v>
      </c>
    </row>
    <row r="234" spans="1:17" x14ac:dyDescent="0.2">
      <c r="A234">
        <v>205</v>
      </c>
      <c r="B234" t="s">
        <v>101</v>
      </c>
      <c r="C234" t="s">
        <v>570</v>
      </c>
      <c r="D234">
        <v>1.1910000000000001</v>
      </c>
      <c r="E234">
        <v>3</v>
      </c>
      <c r="F234" t="s">
        <v>415</v>
      </c>
      <c r="G234" t="s">
        <v>33</v>
      </c>
      <c r="H234" t="s">
        <v>40</v>
      </c>
      <c r="I234" t="s">
        <v>571</v>
      </c>
      <c r="J234" t="s">
        <v>572</v>
      </c>
      <c r="Q234">
        <v>3</v>
      </c>
    </row>
    <row r="235" spans="1:17" x14ac:dyDescent="0.2">
      <c r="A235">
        <v>206</v>
      </c>
      <c r="B235" t="s">
        <v>97</v>
      </c>
      <c r="C235" t="s">
        <v>573</v>
      </c>
      <c r="D235">
        <v>0.78100000000000003</v>
      </c>
      <c r="E235">
        <v>4</v>
      </c>
      <c r="F235" t="s">
        <v>45</v>
      </c>
      <c r="G235" t="s">
        <v>33</v>
      </c>
      <c r="H235" t="s">
        <v>40</v>
      </c>
      <c r="I235" t="s">
        <v>574</v>
      </c>
      <c r="J235" t="s">
        <v>575</v>
      </c>
      <c r="Q235">
        <v>4</v>
      </c>
    </row>
    <row r="236" spans="1:17" x14ac:dyDescent="0.2">
      <c r="A236">
        <v>207</v>
      </c>
      <c r="B236" t="s">
        <v>101</v>
      </c>
      <c r="C236" t="s">
        <v>576</v>
      </c>
      <c r="D236">
        <v>-0.13400000000000001</v>
      </c>
      <c r="E236">
        <v>5</v>
      </c>
      <c r="F236" t="s">
        <v>577</v>
      </c>
      <c r="G236" t="s">
        <v>33</v>
      </c>
      <c r="H236" t="s">
        <v>40</v>
      </c>
      <c r="I236" t="s">
        <v>578</v>
      </c>
      <c r="J236" t="s">
        <v>579</v>
      </c>
      <c r="Q236">
        <v>5</v>
      </c>
    </row>
    <row r="237" spans="1:17" x14ac:dyDescent="0.2">
      <c r="A237">
        <v>208</v>
      </c>
      <c r="B237" t="s">
        <v>52</v>
      </c>
      <c r="C237" t="s">
        <v>580</v>
      </c>
      <c r="D237">
        <v>1.5309999999999999</v>
      </c>
      <c r="E237">
        <v>3</v>
      </c>
      <c r="F237" t="s">
        <v>581</v>
      </c>
      <c r="G237" t="s">
        <v>33</v>
      </c>
      <c r="H237" t="s">
        <v>40</v>
      </c>
      <c r="I237" t="s">
        <v>578</v>
      </c>
      <c r="J237" t="s">
        <v>582</v>
      </c>
      <c r="Q237">
        <v>3</v>
      </c>
    </row>
    <row r="238" spans="1:17" x14ac:dyDescent="0.2">
      <c r="A238">
        <v>209</v>
      </c>
      <c r="B238" t="s">
        <v>43</v>
      </c>
      <c r="C238" t="s">
        <v>583</v>
      </c>
      <c r="D238">
        <v>4.7E-2</v>
      </c>
      <c r="E238">
        <v>5</v>
      </c>
      <c r="F238" t="s">
        <v>584</v>
      </c>
      <c r="G238" t="s">
        <v>33</v>
      </c>
      <c r="H238" t="s">
        <v>40</v>
      </c>
      <c r="I238" t="s">
        <v>585</v>
      </c>
      <c r="J238" t="s">
        <v>586</v>
      </c>
      <c r="Q238">
        <v>5</v>
      </c>
    </row>
    <row r="239" spans="1:17" x14ac:dyDescent="0.2">
      <c r="A239">
        <v>210</v>
      </c>
      <c r="B239" t="s">
        <v>30</v>
      </c>
      <c r="C239" t="s">
        <v>587</v>
      </c>
      <c r="D239">
        <v>1.2629999999999999</v>
      </c>
      <c r="E239">
        <v>3</v>
      </c>
      <c r="F239" t="s">
        <v>588</v>
      </c>
      <c r="G239" t="s">
        <v>33</v>
      </c>
      <c r="H239" t="s">
        <v>40</v>
      </c>
      <c r="I239" t="s">
        <v>589</v>
      </c>
      <c r="J239" t="s">
        <v>590</v>
      </c>
      <c r="Q239">
        <v>3</v>
      </c>
    </row>
    <row r="240" spans="1:17" x14ac:dyDescent="0.2">
      <c r="A240">
        <v>211</v>
      </c>
      <c r="B240" t="s">
        <v>43</v>
      </c>
      <c r="C240" t="s">
        <v>591</v>
      </c>
      <c r="D240">
        <v>0.76700000000000002</v>
      </c>
      <c r="E240">
        <v>4</v>
      </c>
      <c r="F240" t="s">
        <v>45</v>
      </c>
      <c r="G240" t="s">
        <v>33</v>
      </c>
      <c r="H240" t="s">
        <v>40</v>
      </c>
      <c r="I240" t="s">
        <v>592</v>
      </c>
      <c r="J240" t="s">
        <v>593</v>
      </c>
      <c r="Q240">
        <v>4</v>
      </c>
    </row>
    <row r="241" spans="1:17" x14ac:dyDescent="0.2">
      <c r="A241">
        <v>212</v>
      </c>
      <c r="B241" t="s">
        <v>43</v>
      </c>
      <c r="C241" t="s">
        <v>594</v>
      </c>
      <c r="D241">
        <v>0.36499999999999999</v>
      </c>
      <c r="E241">
        <v>4</v>
      </c>
      <c r="F241" t="s">
        <v>267</v>
      </c>
      <c r="G241" t="s">
        <v>33</v>
      </c>
      <c r="H241" t="s">
        <v>40</v>
      </c>
      <c r="I241" t="s">
        <v>595</v>
      </c>
      <c r="J241" t="s">
        <v>596</v>
      </c>
      <c r="Q241">
        <v>4</v>
      </c>
    </row>
    <row r="242" spans="1:17" x14ac:dyDescent="0.2">
      <c r="A242">
        <v>213</v>
      </c>
      <c r="B242" t="s">
        <v>108</v>
      </c>
      <c r="C242" t="s">
        <v>597</v>
      </c>
      <c r="D242">
        <v>0.52100000000000002</v>
      </c>
      <c r="E242">
        <v>4</v>
      </c>
      <c r="F242" t="s">
        <v>110</v>
      </c>
      <c r="G242" t="s">
        <v>33</v>
      </c>
      <c r="H242" t="s">
        <v>40</v>
      </c>
      <c r="I242" t="s">
        <v>598</v>
      </c>
      <c r="J242" t="s">
        <v>599</v>
      </c>
      <c r="Q242">
        <v>4</v>
      </c>
    </row>
    <row r="243" spans="1:17" x14ac:dyDescent="0.2">
      <c r="A243">
        <v>214</v>
      </c>
      <c r="B243" t="s">
        <v>57</v>
      </c>
      <c r="C243" t="s">
        <v>600</v>
      </c>
      <c r="D243">
        <v>-0.72599999999999998</v>
      </c>
      <c r="E243">
        <v>8</v>
      </c>
      <c r="F243" t="s">
        <v>601</v>
      </c>
      <c r="G243" t="s">
        <v>33</v>
      </c>
      <c r="H243" t="s">
        <v>34</v>
      </c>
      <c r="I243" t="s">
        <v>602</v>
      </c>
      <c r="J243" t="s">
        <v>603</v>
      </c>
      <c r="Q243">
        <v>8</v>
      </c>
    </row>
    <row r="244" spans="1:17" x14ac:dyDescent="0.2">
      <c r="A244">
        <v>215</v>
      </c>
      <c r="B244" t="s">
        <v>127</v>
      </c>
      <c r="C244" t="s">
        <v>604</v>
      </c>
      <c r="D244">
        <v>-0.66200000000000003</v>
      </c>
      <c r="E244">
        <v>7</v>
      </c>
      <c r="F244" t="s">
        <v>605</v>
      </c>
      <c r="G244" t="s">
        <v>33</v>
      </c>
      <c r="H244" t="s">
        <v>40</v>
      </c>
      <c r="I244" t="s">
        <v>574</v>
      </c>
      <c r="J244" t="s">
        <v>606</v>
      </c>
      <c r="Q244">
        <v>7</v>
      </c>
    </row>
    <row r="245" spans="1:17" x14ac:dyDescent="0.2">
      <c r="A245">
        <v>216</v>
      </c>
      <c r="B245" t="s">
        <v>127</v>
      </c>
      <c r="C245" t="s">
        <v>607</v>
      </c>
      <c r="D245">
        <v>-0.47199999999999998</v>
      </c>
      <c r="E245">
        <v>7</v>
      </c>
      <c r="F245" t="s">
        <v>192</v>
      </c>
      <c r="G245" t="s">
        <v>33</v>
      </c>
      <c r="H245" t="s">
        <v>40</v>
      </c>
      <c r="I245" t="s">
        <v>574</v>
      </c>
      <c r="J245" t="s">
        <v>608</v>
      </c>
      <c r="Q245">
        <v>7</v>
      </c>
    </row>
    <row r="246" spans="1:17" x14ac:dyDescent="0.2">
      <c r="A246">
        <v>217</v>
      </c>
      <c r="B246" t="s">
        <v>101</v>
      </c>
      <c r="C246" t="s">
        <v>609</v>
      </c>
      <c r="D246">
        <v>-0.29799999999999999</v>
      </c>
      <c r="E246">
        <v>6</v>
      </c>
      <c r="F246" t="s">
        <v>203</v>
      </c>
      <c r="G246" t="s">
        <v>33</v>
      </c>
      <c r="H246" t="s">
        <v>40</v>
      </c>
      <c r="I246" t="s">
        <v>610</v>
      </c>
      <c r="J246" t="s">
        <v>611</v>
      </c>
      <c r="Q246">
        <v>6</v>
      </c>
    </row>
    <row r="247" spans="1:17" x14ac:dyDescent="0.2">
      <c r="A247">
        <v>218</v>
      </c>
      <c r="B247" t="s">
        <v>52</v>
      </c>
      <c r="C247" t="s">
        <v>612</v>
      </c>
      <c r="D247">
        <v>-5.0000000000000001E-3</v>
      </c>
      <c r="E247">
        <v>5</v>
      </c>
      <c r="F247" t="s">
        <v>87</v>
      </c>
      <c r="G247" t="s">
        <v>33</v>
      </c>
      <c r="H247" t="s">
        <v>40</v>
      </c>
      <c r="I247" t="s">
        <v>613</v>
      </c>
      <c r="J247" t="s">
        <v>614</v>
      </c>
      <c r="Q247">
        <v>5</v>
      </c>
    </row>
    <row r="248" spans="1:17" x14ac:dyDescent="0.2">
      <c r="A248">
        <v>219</v>
      </c>
      <c r="B248" t="s">
        <v>194</v>
      </c>
      <c r="C248" t="s">
        <v>615</v>
      </c>
      <c r="D248">
        <v>1.0229999999999999</v>
      </c>
      <c r="E248">
        <v>3</v>
      </c>
      <c r="F248" t="s">
        <v>206</v>
      </c>
      <c r="G248" t="s">
        <v>33</v>
      </c>
      <c r="H248" t="s">
        <v>40</v>
      </c>
      <c r="I248" t="s">
        <v>616</v>
      </c>
      <c r="J248" t="s">
        <v>617</v>
      </c>
      <c r="Q248">
        <v>3</v>
      </c>
    </row>
    <row r="249" spans="1:17" x14ac:dyDescent="0.2">
      <c r="A249">
        <v>220</v>
      </c>
      <c r="B249" t="s">
        <v>108</v>
      </c>
      <c r="C249" t="s">
        <v>618</v>
      </c>
      <c r="D249">
        <v>0.74399999999999999</v>
      </c>
      <c r="E249">
        <v>4</v>
      </c>
      <c r="F249" t="s">
        <v>45</v>
      </c>
      <c r="G249" t="s">
        <v>33</v>
      </c>
      <c r="H249" t="s">
        <v>40</v>
      </c>
      <c r="I249" t="s">
        <v>619</v>
      </c>
      <c r="J249" t="s">
        <v>620</v>
      </c>
      <c r="Q249">
        <v>4</v>
      </c>
    </row>
    <row r="250" spans="1:17" x14ac:dyDescent="0.2">
      <c r="A250">
        <v>221</v>
      </c>
      <c r="B250" t="s">
        <v>94</v>
      </c>
      <c r="C250" t="s">
        <v>621</v>
      </c>
      <c r="D250">
        <v>0.86899999999999999</v>
      </c>
      <c r="E250">
        <v>4</v>
      </c>
      <c r="F250" t="s">
        <v>45</v>
      </c>
      <c r="G250" t="s">
        <v>33</v>
      </c>
      <c r="H250" t="s">
        <v>40</v>
      </c>
      <c r="I250" t="s">
        <v>509</v>
      </c>
      <c r="J250" t="s">
        <v>622</v>
      </c>
      <c r="Q250">
        <v>4</v>
      </c>
    </row>
    <row r="251" spans="1:17" x14ac:dyDescent="0.2">
      <c r="A251">
        <v>222</v>
      </c>
      <c r="B251" t="s">
        <v>97</v>
      </c>
      <c r="C251" t="s">
        <v>623</v>
      </c>
      <c r="D251">
        <v>0.69199999999999995</v>
      </c>
      <c r="E251">
        <v>4</v>
      </c>
      <c r="F251" t="s">
        <v>624</v>
      </c>
      <c r="G251" t="s">
        <v>33</v>
      </c>
      <c r="H251" t="s">
        <v>40</v>
      </c>
      <c r="I251" t="s">
        <v>509</v>
      </c>
      <c r="J251" t="s">
        <v>625</v>
      </c>
      <c r="Q251">
        <v>4</v>
      </c>
    </row>
    <row r="252" spans="1:17" x14ac:dyDescent="0.2">
      <c r="A252">
        <v>223</v>
      </c>
      <c r="B252" t="s">
        <v>108</v>
      </c>
      <c r="C252" t="s">
        <v>626</v>
      </c>
      <c r="D252">
        <v>0.76200000000000001</v>
      </c>
      <c r="E252">
        <v>4</v>
      </c>
      <c r="F252" t="s">
        <v>45</v>
      </c>
      <c r="G252" t="s">
        <v>33</v>
      </c>
      <c r="H252" t="s">
        <v>40</v>
      </c>
      <c r="I252" t="s">
        <v>627</v>
      </c>
      <c r="J252" t="s">
        <v>628</v>
      </c>
      <c r="Q252">
        <v>4</v>
      </c>
    </row>
    <row r="253" spans="1:17" x14ac:dyDescent="0.2">
      <c r="A253">
        <v>224</v>
      </c>
      <c r="B253" t="s">
        <v>37</v>
      </c>
      <c r="C253" t="s">
        <v>629</v>
      </c>
      <c r="D253">
        <v>1.181</v>
      </c>
      <c r="E253">
        <v>3</v>
      </c>
      <c r="F253" t="s">
        <v>415</v>
      </c>
      <c r="G253" t="s">
        <v>33</v>
      </c>
      <c r="H253" t="s">
        <v>40</v>
      </c>
      <c r="I253" t="s">
        <v>630</v>
      </c>
      <c r="J253" t="s">
        <v>631</v>
      </c>
      <c r="Q253">
        <v>3</v>
      </c>
    </row>
    <row r="254" spans="1:17" x14ac:dyDescent="0.2">
      <c r="A254">
        <v>225</v>
      </c>
      <c r="B254" t="s">
        <v>101</v>
      </c>
      <c r="C254" t="s">
        <v>632</v>
      </c>
      <c r="D254">
        <v>0.105</v>
      </c>
      <c r="E254">
        <v>5</v>
      </c>
      <c r="F254" t="s">
        <v>633</v>
      </c>
      <c r="G254" t="s">
        <v>33</v>
      </c>
      <c r="H254" t="s">
        <v>40</v>
      </c>
      <c r="I254" t="s">
        <v>634</v>
      </c>
      <c r="J254" t="s">
        <v>635</v>
      </c>
      <c r="Q254">
        <v>5</v>
      </c>
    </row>
    <row r="255" spans="1:17" x14ac:dyDescent="0.2">
      <c r="A255">
        <v>226</v>
      </c>
      <c r="B255" t="s">
        <v>127</v>
      </c>
      <c r="C255" t="s">
        <v>636</v>
      </c>
      <c r="D255">
        <v>0.41699999999999998</v>
      </c>
      <c r="E255">
        <v>4</v>
      </c>
      <c r="F255" t="s">
        <v>637</v>
      </c>
      <c r="G255" t="s">
        <v>33</v>
      </c>
      <c r="H255" t="s">
        <v>40</v>
      </c>
      <c r="I255" t="s">
        <v>638</v>
      </c>
      <c r="J255" t="s">
        <v>639</v>
      </c>
      <c r="Q255">
        <v>4</v>
      </c>
    </row>
    <row r="256" spans="1:17" x14ac:dyDescent="0.2">
      <c r="A256">
        <v>227</v>
      </c>
      <c r="B256" t="s">
        <v>43</v>
      </c>
      <c r="C256" t="s">
        <v>640</v>
      </c>
      <c r="D256">
        <v>-0.16500000000000001</v>
      </c>
      <c r="E256">
        <v>6</v>
      </c>
      <c r="F256" t="s">
        <v>641</v>
      </c>
      <c r="G256" t="s">
        <v>33</v>
      </c>
      <c r="H256" t="s">
        <v>40</v>
      </c>
      <c r="I256" t="s">
        <v>642</v>
      </c>
      <c r="J256" t="s">
        <v>643</v>
      </c>
      <c r="Q256">
        <v>6</v>
      </c>
    </row>
    <row r="257" spans="1:17" x14ac:dyDescent="0.2">
      <c r="A257">
        <v>228</v>
      </c>
      <c r="B257" t="s">
        <v>57</v>
      </c>
      <c r="C257" t="s">
        <v>644</v>
      </c>
      <c r="D257">
        <v>-0.93899999999999995</v>
      </c>
      <c r="E257">
        <v>8</v>
      </c>
      <c r="F257" t="s">
        <v>645</v>
      </c>
      <c r="G257" t="s">
        <v>33</v>
      </c>
      <c r="H257" t="s">
        <v>34</v>
      </c>
      <c r="I257" t="s">
        <v>642</v>
      </c>
      <c r="J257" t="s">
        <v>646</v>
      </c>
      <c r="Q257">
        <v>8</v>
      </c>
    </row>
    <row r="258" spans="1:17" x14ac:dyDescent="0.2">
      <c r="A258">
        <v>229</v>
      </c>
      <c r="B258" t="s">
        <v>127</v>
      </c>
      <c r="C258" t="s">
        <v>647</v>
      </c>
      <c r="D258">
        <v>-1.2569999999999999</v>
      </c>
      <c r="E258">
        <v>9</v>
      </c>
      <c r="F258" t="s">
        <v>648</v>
      </c>
      <c r="G258" t="s">
        <v>33</v>
      </c>
      <c r="H258" t="s">
        <v>34</v>
      </c>
      <c r="I258" t="s">
        <v>642</v>
      </c>
      <c r="J258" t="s">
        <v>649</v>
      </c>
      <c r="Q258">
        <v>9</v>
      </c>
    </row>
    <row r="259" spans="1:17" x14ac:dyDescent="0.2">
      <c r="A259">
        <v>230</v>
      </c>
      <c r="B259" t="s">
        <v>156</v>
      </c>
      <c r="C259" t="s">
        <v>650</v>
      </c>
      <c r="D259">
        <v>0.246</v>
      </c>
      <c r="E259">
        <v>5</v>
      </c>
      <c r="F259" t="s">
        <v>39</v>
      </c>
      <c r="G259" t="s">
        <v>33</v>
      </c>
      <c r="H259" t="s">
        <v>40</v>
      </c>
      <c r="I259" t="s">
        <v>651</v>
      </c>
      <c r="J259" t="s">
        <v>652</v>
      </c>
      <c r="Q259">
        <v>5</v>
      </c>
    </row>
    <row r="260" spans="1:17" x14ac:dyDescent="0.2">
      <c r="A260">
        <v>231</v>
      </c>
      <c r="B260" t="s">
        <v>127</v>
      </c>
      <c r="C260" t="s">
        <v>653</v>
      </c>
      <c r="D260">
        <v>-0.74199999999999999</v>
      </c>
      <c r="E260">
        <v>8</v>
      </c>
      <c r="F260" t="s">
        <v>654</v>
      </c>
      <c r="G260" t="s">
        <v>33</v>
      </c>
      <c r="H260" t="s">
        <v>34</v>
      </c>
      <c r="I260" t="s">
        <v>655</v>
      </c>
      <c r="J260" t="s">
        <v>656</v>
      </c>
      <c r="Q260">
        <v>8</v>
      </c>
    </row>
    <row r="261" spans="1:17" x14ac:dyDescent="0.2">
      <c r="A261">
        <v>232</v>
      </c>
      <c r="B261" t="s">
        <v>43</v>
      </c>
      <c r="C261" t="s">
        <v>657</v>
      </c>
      <c r="D261">
        <v>0.93899999999999995</v>
      </c>
      <c r="E261">
        <v>4</v>
      </c>
      <c r="F261" t="s">
        <v>588</v>
      </c>
      <c r="G261" t="s">
        <v>33</v>
      </c>
      <c r="H261" t="s">
        <v>40</v>
      </c>
      <c r="I261" t="s">
        <v>658</v>
      </c>
      <c r="J261" t="s">
        <v>659</v>
      </c>
      <c r="Q261">
        <v>4</v>
      </c>
    </row>
    <row r="262" spans="1:17" x14ac:dyDescent="0.2">
      <c r="A262">
        <v>233</v>
      </c>
      <c r="B262" t="s">
        <v>57</v>
      </c>
      <c r="C262" t="s">
        <v>660</v>
      </c>
      <c r="D262">
        <v>-0.76200000000000001</v>
      </c>
      <c r="E262">
        <v>8</v>
      </c>
      <c r="F262" t="s">
        <v>661</v>
      </c>
      <c r="G262" t="s">
        <v>33</v>
      </c>
      <c r="H262" t="s">
        <v>34</v>
      </c>
      <c r="I262" t="s">
        <v>662</v>
      </c>
      <c r="J262" t="s">
        <v>663</v>
      </c>
      <c r="Q262">
        <v>8</v>
      </c>
    </row>
    <row r="265" spans="1:17" x14ac:dyDescent="0.2">
      <c r="A265" t="s">
        <v>664</v>
      </c>
    </row>
    <row r="266" spans="1:17" x14ac:dyDescent="0.2">
      <c r="A266" t="s">
        <v>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E001-9091-B34C-9834-7405D28658FD}">
  <dimension ref="A1:C146"/>
  <sheetViews>
    <sheetView topLeftCell="A165" workbookViewId="0">
      <selection activeCell="C82" sqref="C82:C146"/>
    </sheetView>
  </sheetViews>
  <sheetFormatPr baseColWidth="10" defaultRowHeight="16" x14ac:dyDescent="0.2"/>
  <sheetData>
    <row r="1" spans="1:3" x14ac:dyDescent="0.2">
      <c r="A1" t="s">
        <v>64</v>
      </c>
      <c r="B1">
        <v>1.7212000000000001</v>
      </c>
      <c r="C1">
        <v>9</v>
      </c>
    </row>
    <row r="2" spans="1:3" x14ac:dyDescent="0.2">
      <c r="A2" t="s">
        <v>64</v>
      </c>
      <c r="B2">
        <v>1.5099</v>
      </c>
      <c r="C2">
        <v>9</v>
      </c>
    </row>
    <row r="3" spans="1:3" x14ac:dyDescent="0.2">
      <c r="A3" t="s">
        <v>64</v>
      </c>
      <c r="B3">
        <v>1.5135000000000001</v>
      </c>
      <c r="C3">
        <v>8</v>
      </c>
    </row>
    <row r="4" spans="1:3" x14ac:dyDescent="0.2">
      <c r="A4" t="s">
        <v>64</v>
      </c>
      <c r="B4">
        <v>5.4457000000000004</v>
      </c>
      <c r="C4">
        <v>8</v>
      </c>
    </row>
    <row r="5" spans="1:3" x14ac:dyDescent="0.2">
      <c r="A5" t="s">
        <v>64</v>
      </c>
      <c r="B5">
        <v>5.8547000000000002</v>
      </c>
      <c r="C5">
        <v>5</v>
      </c>
    </row>
    <row r="6" spans="1:3" x14ac:dyDescent="0.2">
      <c r="A6" t="s">
        <v>64</v>
      </c>
      <c r="B6">
        <v>3.9459</v>
      </c>
      <c r="C6">
        <v>1</v>
      </c>
    </row>
    <row r="7" spans="1:3" x14ac:dyDescent="0.2">
      <c r="A7" t="s">
        <v>64</v>
      </c>
      <c r="B7">
        <v>6.0800999999999998</v>
      </c>
      <c r="C7">
        <v>7</v>
      </c>
    </row>
    <row r="8" spans="1:3" x14ac:dyDescent="0.2">
      <c r="A8" t="s">
        <v>64</v>
      </c>
      <c r="B8">
        <v>4.8738999999999999</v>
      </c>
      <c r="C8">
        <v>3</v>
      </c>
    </row>
    <row r="9" spans="1:3" x14ac:dyDescent="0.2">
      <c r="A9" t="s">
        <v>64</v>
      </c>
      <c r="B9">
        <v>2.0630999999999999</v>
      </c>
      <c r="C9">
        <v>8</v>
      </c>
    </row>
    <row r="10" spans="1:3" x14ac:dyDescent="0.2">
      <c r="A10" t="s">
        <v>64</v>
      </c>
      <c r="B10">
        <v>1.4821</v>
      </c>
      <c r="C10">
        <v>6</v>
      </c>
    </row>
    <row r="11" spans="1:3" x14ac:dyDescent="0.2">
      <c r="A11" t="s">
        <v>64</v>
      </c>
      <c r="B11">
        <v>0.86929999999999996</v>
      </c>
      <c r="C11">
        <v>4</v>
      </c>
    </row>
    <row r="12" spans="1:3" x14ac:dyDescent="0.2">
      <c r="A12" t="s">
        <v>64</v>
      </c>
      <c r="B12">
        <v>0.71630000000000005</v>
      </c>
      <c r="C12">
        <v>3</v>
      </c>
    </row>
    <row r="13" spans="1:3" x14ac:dyDescent="0.2">
      <c r="A13" t="s">
        <v>64</v>
      </c>
      <c r="B13">
        <v>0.81210000000000004</v>
      </c>
      <c r="C13">
        <v>4</v>
      </c>
    </row>
    <row r="14" spans="1:3" x14ac:dyDescent="0.2">
      <c r="A14" t="s">
        <v>64</v>
      </c>
      <c r="B14">
        <v>0.73929999999999996</v>
      </c>
      <c r="C14">
        <v>5</v>
      </c>
    </row>
    <row r="15" spans="1:3" x14ac:dyDescent="0.2">
      <c r="A15" t="s">
        <v>64</v>
      </c>
      <c r="B15">
        <v>0.73519999999999996</v>
      </c>
      <c r="C15">
        <v>1</v>
      </c>
    </row>
    <row r="16" spans="1:3" x14ac:dyDescent="0.2">
      <c r="A16" t="s">
        <v>64</v>
      </c>
      <c r="B16">
        <v>0.86070000000000002</v>
      </c>
      <c r="C16">
        <v>5</v>
      </c>
    </row>
    <row r="17" spans="1:3" x14ac:dyDescent="0.2">
      <c r="A17" t="s">
        <v>64</v>
      </c>
      <c r="B17">
        <v>0.6321</v>
      </c>
      <c r="C17">
        <v>9</v>
      </c>
    </row>
    <row r="18" spans="1:3" x14ac:dyDescent="0.2">
      <c r="A18" t="s">
        <v>64</v>
      </c>
      <c r="B18">
        <v>1.2558</v>
      </c>
      <c r="C18">
        <v>7</v>
      </c>
    </row>
    <row r="19" spans="1:3" x14ac:dyDescent="0.2">
      <c r="A19" t="s">
        <v>64</v>
      </c>
      <c r="B19">
        <v>1.4401999999999999</v>
      </c>
      <c r="C19">
        <v>7</v>
      </c>
    </row>
    <row r="20" spans="1:3" x14ac:dyDescent="0.2">
      <c r="A20" t="s">
        <v>64</v>
      </c>
      <c r="B20">
        <v>0.98019999999999996</v>
      </c>
      <c r="C20">
        <v>9</v>
      </c>
    </row>
    <row r="21" spans="1:3" x14ac:dyDescent="0.2">
      <c r="A21" t="s">
        <v>64</v>
      </c>
      <c r="B21">
        <v>0.45219999999999999</v>
      </c>
      <c r="C21">
        <v>9</v>
      </c>
    </row>
    <row r="22" spans="1:3" x14ac:dyDescent="0.2">
      <c r="A22" t="s">
        <v>64</v>
      </c>
      <c r="B22">
        <v>0.62790000000000001</v>
      </c>
      <c r="C22">
        <v>8</v>
      </c>
    </row>
    <row r="23" spans="1:3" x14ac:dyDescent="0.2">
      <c r="A23" t="s">
        <v>64</v>
      </c>
      <c r="B23">
        <v>0.63460000000000005</v>
      </c>
      <c r="C23">
        <v>7</v>
      </c>
    </row>
    <row r="24" spans="1:3" x14ac:dyDescent="0.2">
      <c r="A24" t="s">
        <v>64</v>
      </c>
      <c r="B24">
        <v>1.0927</v>
      </c>
      <c r="C24">
        <v>7</v>
      </c>
    </row>
    <row r="25" spans="1:3" x14ac:dyDescent="0.2">
      <c r="A25" t="s">
        <v>64</v>
      </c>
      <c r="B25">
        <v>0.87719999999999998</v>
      </c>
      <c r="C25">
        <v>9</v>
      </c>
    </row>
    <row r="26" spans="1:3" x14ac:dyDescent="0.2">
      <c r="A26" t="s">
        <v>64</v>
      </c>
      <c r="B26">
        <v>0.76670000000000005</v>
      </c>
      <c r="C26">
        <v>7</v>
      </c>
    </row>
    <row r="27" spans="1:3" x14ac:dyDescent="0.2">
      <c r="A27" t="s">
        <v>64</v>
      </c>
      <c r="B27">
        <v>3.7448999999999999</v>
      </c>
      <c r="C27">
        <v>9</v>
      </c>
    </row>
    <row r="28" spans="1:3" x14ac:dyDescent="0.2">
      <c r="A28" t="s">
        <v>64</v>
      </c>
      <c r="B28">
        <v>4.0194000000000001</v>
      </c>
      <c r="C28">
        <v>6</v>
      </c>
    </row>
    <row r="29" spans="1:3" x14ac:dyDescent="0.2">
      <c r="A29" t="s">
        <v>64</v>
      </c>
      <c r="B29">
        <v>3.9514999999999998</v>
      </c>
      <c r="C29">
        <v>6</v>
      </c>
    </row>
    <row r="30" spans="1:3" x14ac:dyDescent="0.2">
      <c r="A30" t="s">
        <v>64</v>
      </c>
      <c r="B30">
        <v>1.2434000000000001</v>
      </c>
      <c r="C30">
        <v>9</v>
      </c>
    </row>
    <row r="31" spans="1:3" x14ac:dyDescent="0.2">
      <c r="A31" t="s">
        <v>64</v>
      </c>
      <c r="B31">
        <v>1.8721000000000001</v>
      </c>
      <c r="C31">
        <v>9</v>
      </c>
    </row>
    <row r="32" spans="1:3" x14ac:dyDescent="0.2">
      <c r="A32" t="s">
        <v>64</v>
      </c>
      <c r="B32">
        <v>1.5494000000000001</v>
      </c>
      <c r="C32">
        <v>8</v>
      </c>
    </row>
    <row r="33" spans="1:3" x14ac:dyDescent="0.2">
      <c r="A33" t="s">
        <v>64</v>
      </c>
      <c r="B33">
        <v>1.4858</v>
      </c>
      <c r="C33">
        <v>7</v>
      </c>
    </row>
    <row r="34" spans="1:3" x14ac:dyDescent="0.2">
      <c r="A34" t="s">
        <v>64</v>
      </c>
      <c r="B34">
        <v>0.95079999999999998</v>
      </c>
      <c r="C34">
        <v>7</v>
      </c>
    </row>
    <row r="35" spans="1:3" x14ac:dyDescent="0.2">
      <c r="A35" t="s">
        <v>64</v>
      </c>
      <c r="B35">
        <v>0.82579999999999998</v>
      </c>
      <c r="C35">
        <v>4</v>
      </c>
    </row>
    <row r="36" spans="1:3" x14ac:dyDescent="0.2">
      <c r="A36" t="s">
        <v>64</v>
      </c>
      <c r="B36">
        <v>0.28720000000000001</v>
      </c>
      <c r="C36">
        <v>7</v>
      </c>
    </row>
    <row r="37" spans="1:3" x14ac:dyDescent="0.2">
      <c r="A37" t="s">
        <v>64</v>
      </c>
      <c r="B37">
        <v>0.56610000000000005</v>
      </c>
      <c r="C37">
        <v>9</v>
      </c>
    </row>
    <row r="38" spans="1:3" x14ac:dyDescent="0.2">
      <c r="A38" t="s">
        <v>64</v>
      </c>
      <c r="B38">
        <v>0.3921</v>
      </c>
      <c r="C38">
        <v>6</v>
      </c>
    </row>
    <row r="39" spans="1:3" x14ac:dyDescent="0.2">
      <c r="A39" t="s">
        <v>64</v>
      </c>
      <c r="B39">
        <v>0.11890000000000001</v>
      </c>
      <c r="C39">
        <v>6</v>
      </c>
    </row>
    <row r="40" spans="1:3" x14ac:dyDescent="0.2">
      <c r="A40" t="s">
        <v>64</v>
      </c>
      <c r="B40">
        <v>0.17960000000000001</v>
      </c>
      <c r="C40">
        <v>8</v>
      </c>
    </row>
    <row r="41" spans="1:3" x14ac:dyDescent="0.2">
      <c r="A41" t="s">
        <v>64</v>
      </c>
      <c r="B41">
        <v>0.41660000000000003</v>
      </c>
      <c r="C41">
        <v>9</v>
      </c>
    </row>
    <row r="42" spans="1:3" x14ac:dyDescent="0.2">
      <c r="A42" t="s">
        <v>64</v>
      </c>
      <c r="B42">
        <v>0.54759999999999998</v>
      </c>
      <c r="C42">
        <v>6</v>
      </c>
    </row>
    <row r="43" spans="1:3" x14ac:dyDescent="0.2">
      <c r="A43" t="s">
        <v>64</v>
      </c>
      <c r="B43">
        <v>0.57230000000000003</v>
      </c>
      <c r="C43">
        <v>6</v>
      </c>
    </row>
    <row r="44" spans="1:3" x14ac:dyDescent="0.2">
      <c r="A44" t="s">
        <v>64</v>
      </c>
      <c r="B44">
        <v>0.73360000000000003</v>
      </c>
      <c r="C44">
        <v>6</v>
      </c>
    </row>
    <row r="45" spans="1:3" x14ac:dyDescent="0.2">
      <c r="A45" t="s">
        <v>64</v>
      </c>
      <c r="B45">
        <v>1.0509999999999999</v>
      </c>
      <c r="C45">
        <v>4</v>
      </c>
    </row>
    <row r="46" spans="1:3" x14ac:dyDescent="0.2">
      <c r="A46" t="s">
        <v>64</v>
      </c>
      <c r="B46">
        <v>0.71530000000000005</v>
      </c>
      <c r="C46">
        <v>4</v>
      </c>
    </row>
    <row r="47" spans="1:3" x14ac:dyDescent="0.2">
      <c r="A47" t="s">
        <v>64</v>
      </c>
      <c r="B47">
        <v>0.58479999999999999</v>
      </c>
      <c r="C47">
        <v>9</v>
      </c>
    </row>
    <row r="48" spans="1:3" x14ac:dyDescent="0.2">
      <c r="A48" t="s">
        <v>64</v>
      </c>
      <c r="B48">
        <v>1.1391</v>
      </c>
      <c r="C48">
        <v>4</v>
      </c>
    </row>
    <row r="49" spans="1:3" x14ac:dyDescent="0.2">
      <c r="A49" t="s">
        <v>64</v>
      </c>
      <c r="B49">
        <v>1.0640000000000001</v>
      </c>
      <c r="C49">
        <v>4</v>
      </c>
    </row>
    <row r="50" spans="1:3" x14ac:dyDescent="0.2">
      <c r="A50" t="s">
        <v>64</v>
      </c>
      <c r="B50">
        <v>0.77370000000000005</v>
      </c>
      <c r="C50">
        <v>6</v>
      </c>
    </row>
    <row r="51" spans="1:3" x14ac:dyDescent="0.2">
      <c r="A51" t="s">
        <v>64</v>
      </c>
      <c r="B51">
        <v>1.0170999999999999</v>
      </c>
      <c r="C51">
        <v>9</v>
      </c>
    </row>
    <row r="52" spans="1:3" x14ac:dyDescent="0.2">
      <c r="A52" t="s">
        <v>64</v>
      </c>
      <c r="B52">
        <v>1.4100999999999999</v>
      </c>
      <c r="C52">
        <v>4</v>
      </c>
    </row>
    <row r="53" spans="1:3" x14ac:dyDescent="0.2">
      <c r="A53" t="s">
        <v>64</v>
      </c>
      <c r="B53">
        <v>1.1294</v>
      </c>
      <c r="C53">
        <v>5</v>
      </c>
    </row>
    <row r="54" spans="1:3" x14ac:dyDescent="0.2">
      <c r="A54" t="s">
        <v>64</v>
      </c>
      <c r="B54">
        <v>0.54</v>
      </c>
      <c r="C54">
        <v>7</v>
      </c>
    </row>
    <row r="55" spans="1:3" x14ac:dyDescent="0.2">
      <c r="A55" t="s">
        <v>64</v>
      </c>
      <c r="B55">
        <v>0.58189999999999997</v>
      </c>
      <c r="C55">
        <v>8</v>
      </c>
    </row>
    <row r="56" spans="1:3" x14ac:dyDescent="0.2">
      <c r="A56" t="s">
        <v>64</v>
      </c>
      <c r="B56">
        <v>0.69969999999999999</v>
      </c>
      <c r="C56">
        <v>7</v>
      </c>
    </row>
    <row r="57" spans="1:3" x14ac:dyDescent="0.2">
      <c r="A57" t="s">
        <v>64</v>
      </c>
      <c r="B57">
        <v>0.62429999999999997</v>
      </c>
      <c r="C57">
        <v>6</v>
      </c>
    </row>
    <row r="58" spans="1:3" x14ac:dyDescent="0.2">
      <c r="A58" t="s">
        <v>64</v>
      </c>
      <c r="B58">
        <v>0.3493</v>
      </c>
      <c r="C58">
        <v>9</v>
      </c>
    </row>
    <row r="59" spans="1:3" x14ac:dyDescent="0.2">
      <c r="A59" t="s">
        <v>64</v>
      </c>
      <c r="B59">
        <v>0.50629999999999997</v>
      </c>
      <c r="C59">
        <v>4</v>
      </c>
    </row>
    <row r="60" spans="1:3" x14ac:dyDescent="0.2">
      <c r="A60" t="s">
        <v>64</v>
      </c>
      <c r="B60">
        <v>0.52549999999999997</v>
      </c>
      <c r="C60">
        <v>5</v>
      </c>
    </row>
    <row r="61" spans="1:3" x14ac:dyDescent="0.2">
      <c r="A61" t="s">
        <v>64</v>
      </c>
      <c r="B61">
        <v>0.53879999999999995</v>
      </c>
      <c r="C61">
        <v>9</v>
      </c>
    </row>
    <row r="62" spans="1:3" x14ac:dyDescent="0.2">
      <c r="A62" t="s">
        <v>64</v>
      </c>
      <c r="B62">
        <v>0.44879999999999998</v>
      </c>
      <c r="C62">
        <v>6</v>
      </c>
    </row>
    <row r="63" spans="1:3" x14ac:dyDescent="0.2">
      <c r="A63" t="s">
        <v>64</v>
      </c>
      <c r="B63">
        <v>0.66120000000000001</v>
      </c>
      <c r="C63">
        <v>4</v>
      </c>
    </row>
    <row r="64" spans="1:3" x14ac:dyDescent="0.2">
      <c r="A64" t="s">
        <v>64</v>
      </c>
      <c r="B64">
        <v>0.26700000000000002</v>
      </c>
      <c r="C64">
        <v>5</v>
      </c>
    </row>
    <row r="65" spans="1:3" x14ac:dyDescent="0.2">
      <c r="A65" t="s">
        <v>64</v>
      </c>
      <c r="B65">
        <v>0.1648</v>
      </c>
      <c r="C65">
        <v>9</v>
      </c>
    </row>
    <row r="66" spans="1:3" x14ac:dyDescent="0.2">
      <c r="A66" t="s">
        <v>64</v>
      </c>
      <c r="B66">
        <v>0.247</v>
      </c>
      <c r="C66">
        <v>6</v>
      </c>
    </row>
    <row r="67" spans="1:3" x14ac:dyDescent="0.2">
      <c r="A67" t="s">
        <v>64</v>
      </c>
      <c r="B67">
        <v>0.41810000000000003</v>
      </c>
      <c r="C67">
        <v>4</v>
      </c>
    </row>
    <row r="68" spans="1:3" x14ac:dyDescent="0.2">
      <c r="A68" t="s">
        <v>64</v>
      </c>
      <c r="B68">
        <v>0.24210000000000001</v>
      </c>
      <c r="C68">
        <v>8</v>
      </c>
    </row>
    <row r="69" spans="1:3" x14ac:dyDescent="0.2">
      <c r="A69" t="s">
        <v>64</v>
      </c>
      <c r="B69">
        <v>0.81710000000000005</v>
      </c>
      <c r="C69">
        <v>6</v>
      </c>
    </row>
    <row r="70" spans="1:3" x14ac:dyDescent="0.2">
      <c r="A70" t="s">
        <v>64</v>
      </c>
      <c r="B70">
        <v>0.78290000000000004</v>
      </c>
      <c r="C70">
        <v>8</v>
      </c>
    </row>
    <row r="71" spans="1:3" x14ac:dyDescent="0.2">
      <c r="A71" t="s">
        <v>64</v>
      </c>
      <c r="B71">
        <v>0.35449999999999998</v>
      </c>
      <c r="C71">
        <v>7</v>
      </c>
    </row>
    <row r="72" spans="1:3" x14ac:dyDescent="0.2">
      <c r="A72" t="s">
        <v>64</v>
      </c>
      <c r="B72">
        <v>0.39539999999999997</v>
      </c>
      <c r="C72">
        <v>7</v>
      </c>
    </row>
    <row r="73" spans="1:3" x14ac:dyDescent="0.2">
      <c r="A73" t="s">
        <v>64</v>
      </c>
      <c r="B73">
        <v>0.40620000000000001</v>
      </c>
      <c r="C73">
        <v>9</v>
      </c>
    </row>
    <row r="74" spans="1:3" x14ac:dyDescent="0.2">
      <c r="A74" t="s">
        <v>64</v>
      </c>
      <c r="B74">
        <v>0.43169999999999997</v>
      </c>
      <c r="C74">
        <v>8</v>
      </c>
    </row>
    <row r="75" spans="1:3" x14ac:dyDescent="0.2">
      <c r="A75" t="s">
        <v>64</v>
      </c>
      <c r="B75">
        <v>0.34370000000000001</v>
      </c>
      <c r="C75">
        <v>6</v>
      </c>
    </row>
    <row r="76" spans="1:3" x14ac:dyDescent="0.2">
      <c r="A76" t="s">
        <v>64</v>
      </c>
      <c r="B76">
        <v>0.27489999999999998</v>
      </c>
      <c r="C76">
        <v>9</v>
      </c>
    </row>
    <row r="77" spans="1:3" x14ac:dyDescent="0.2">
      <c r="A77" t="s">
        <v>64</v>
      </c>
      <c r="B77">
        <v>0.2853</v>
      </c>
      <c r="C77">
        <v>9</v>
      </c>
    </row>
    <row r="78" spans="1:3" x14ac:dyDescent="0.2">
      <c r="A78" t="s">
        <v>64</v>
      </c>
      <c r="B78">
        <v>0.59699999999999998</v>
      </c>
      <c r="C78">
        <v>6</v>
      </c>
    </row>
    <row r="79" spans="1:3" x14ac:dyDescent="0.2">
      <c r="A79" t="s">
        <v>64</v>
      </c>
      <c r="B79">
        <v>0.77669999999999995</v>
      </c>
      <c r="C79">
        <v>8</v>
      </c>
    </row>
    <row r="80" spans="1:3" x14ac:dyDescent="0.2">
      <c r="A80" t="s">
        <v>64</v>
      </c>
      <c r="B80">
        <v>1.2650999999999999</v>
      </c>
      <c r="C80">
        <v>6</v>
      </c>
    </row>
    <row r="81" spans="1:3" x14ac:dyDescent="0.2">
      <c r="A81" t="s">
        <v>64</v>
      </c>
      <c r="B81">
        <v>2.4125000000000001</v>
      </c>
      <c r="C81">
        <v>9</v>
      </c>
    </row>
    <row r="82" spans="1:3" x14ac:dyDescent="0.2">
      <c r="A82" t="s">
        <v>33</v>
      </c>
      <c r="B82">
        <v>13.03</v>
      </c>
      <c r="C82">
        <v>9</v>
      </c>
    </row>
    <row r="83" spans="1:3" x14ac:dyDescent="0.2">
      <c r="A83" t="s">
        <v>33</v>
      </c>
      <c r="B83">
        <v>7.41</v>
      </c>
      <c r="C83">
        <v>5</v>
      </c>
    </row>
    <row r="84" spans="1:3" x14ac:dyDescent="0.2">
      <c r="A84" t="s">
        <v>33</v>
      </c>
      <c r="B84">
        <v>5.6426999999999996</v>
      </c>
      <c r="C84">
        <v>4</v>
      </c>
    </row>
    <row r="85" spans="1:3" x14ac:dyDescent="0.2">
      <c r="A85" t="s">
        <v>33</v>
      </c>
      <c r="B85">
        <v>2.8275000000000001</v>
      </c>
      <c r="C85">
        <v>5</v>
      </c>
    </row>
    <row r="86" spans="1:3" x14ac:dyDescent="0.2">
      <c r="A86" t="s">
        <v>33</v>
      </c>
      <c r="B86">
        <v>1.0905</v>
      </c>
      <c r="C86">
        <v>9</v>
      </c>
    </row>
    <row r="87" spans="1:3" x14ac:dyDescent="0.2">
      <c r="A87" t="s">
        <v>33</v>
      </c>
      <c r="B87">
        <v>0.54179999999999995</v>
      </c>
      <c r="C87">
        <v>8</v>
      </c>
    </row>
    <row r="88" spans="1:3" x14ac:dyDescent="0.2">
      <c r="A88" t="s">
        <v>33</v>
      </c>
      <c r="B88">
        <v>2.1892</v>
      </c>
      <c r="C88">
        <v>7</v>
      </c>
    </row>
    <row r="89" spans="1:3" x14ac:dyDescent="0.2">
      <c r="A89" t="s">
        <v>33</v>
      </c>
      <c r="B89">
        <v>5.6432000000000002</v>
      </c>
      <c r="C89">
        <v>9</v>
      </c>
    </row>
    <row r="90" spans="1:3" x14ac:dyDescent="0.2">
      <c r="A90" t="s">
        <v>33</v>
      </c>
      <c r="B90">
        <v>7.1620999999999997</v>
      </c>
      <c r="C90">
        <v>8</v>
      </c>
    </row>
    <row r="91" spans="1:3" x14ac:dyDescent="0.2">
      <c r="A91" t="s">
        <v>33</v>
      </c>
      <c r="B91">
        <v>7.0206999999999997</v>
      </c>
      <c r="C91">
        <v>5</v>
      </c>
    </row>
    <row r="92" spans="1:3" x14ac:dyDescent="0.2">
      <c r="A92" t="s">
        <v>33</v>
      </c>
      <c r="B92">
        <v>6.1204999999999998</v>
      </c>
      <c r="C92">
        <v>5</v>
      </c>
    </row>
    <row r="93" spans="1:3" x14ac:dyDescent="0.2">
      <c r="A93" t="s">
        <v>33</v>
      </c>
      <c r="B93">
        <v>5.0723000000000003</v>
      </c>
      <c r="C93">
        <v>9</v>
      </c>
    </row>
    <row r="94" spans="1:3" x14ac:dyDescent="0.2">
      <c r="A94" t="s">
        <v>33</v>
      </c>
      <c r="B94">
        <v>3.9342000000000001</v>
      </c>
      <c r="C94">
        <v>4</v>
      </c>
    </row>
    <row r="95" spans="1:3" x14ac:dyDescent="0.2">
      <c r="A95" t="s">
        <v>33</v>
      </c>
      <c r="B95">
        <v>3.6181000000000001</v>
      </c>
      <c r="C95">
        <v>5</v>
      </c>
    </row>
    <row r="96" spans="1:3" x14ac:dyDescent="0.2">
      <c r="A96" t="s">
        <v>33</v>
      </c>
      <c r="B96">
        <v>2.8538999999999999</v>
      </c>
      <c r="C96">
        <v>7</v>
      </c>
    </row>
    <row r="97" spans="1:3" x14ac:dyDescent="0.2">
      <c r="A97" t="s">
        <v>33</v>
      </c>
      <c r="B97">
        <v>1.0593999999999999</v>
      </c>
      <c r="C97">
        <v>9</v>
      </c>
    </row>
    <row r="98" spans="1:3" x14ac:dyDescent="0.2">
      <c r="A98" t="s">
        <v>33</v>
      </c>
      <c r="B98">
        <v>2.2029999999999998</v>
      </c>
      <c r="C98">
        <v>6</v>
      </c>
    </row>
    <row r="99" spans="1:3" x14ac:dyDescent="0.2">
      <c r="A99" t="s">
        <v>33</v>
      </c>
      <c r="B99">
        <v>0.83740000000000003</v>
      </c>
      <c r="C99">
        <v>9</v>
      </c>
    </row>
    <row r="100" spans="1:3" x14ac:dyDescent="0.2">
      <c r="A100" t="s">
        <v>33</v>
      </c>
      <c r="B100">
        <v>2.0811000000000002</v>
      </c>
      <c r="C100">
        <v>8</v>
      </c>
    </row>
    <row r="101" spans="1:3" x14ac:dyDescent="0.2">
      <c r="A101" t="s">
        <v>33</v>
      </c>
      <c r="B101">
        <v>3.4462000000000002</v>
      </c>
      <c r="C101">
        <v>7</v>
      </c>
    </row>
    <row r="102" spans="1:3" x14ac:dyDescent="0.2">
      <c r="A102" t="s">
        <v>33</v>
      </c>
      <c r="B102">
        <v>2.6829999999999998</v>
      </c>
      <c r="C102">
        <v>8</v>
      </c>
    </row>
    <row r="103" spans="1:3" x14ac:dyDescent="0.2">
      <c r="A103" t="s">
        <v>33</v>
      </c>
      <c r="B103">
        <v>3.4975000000000001</v>
      </c>
      <c r="C103">
        <v>6</v>
      </c>
    </row>
    <row r="104" spans="1:3" x14ac:dyDescent="0.2">
      <c r="A104" t="s">
        <v>33</v>
      </c>
      <c r="B104">
        <v>5.2374000000000001</v>
      </c>
      <c r="C104">
        <v>3</v>
      </c>
    </row>
    <row r="105" spans="1:3" x14ac:dyDescent="0.2">
      <c r="A105" t="s">
        <v>33</v>
      </c>
      <c r="B105">
        <v>8.9148999999999994</v>
      </c>
      <c r="C105">
        <v>7</v>
      </c>
    </row>
    <row r="106" spans="1:3" x14ac:dyDescent="0.2">
      <c r="A106" t="s">
        <v>33</v>
      </c>
      <c r="B106">
        <v>11.913</v>
      </c>
      <c r="C106">
        <v>1</v>
      </c>
    </row>
    <row r="107" spans="1:3" x14ac:dyDescent="0.2">
      <c r="A107" t="s">
        <v>33</v>
      </c>
      <c r="B107">
        <v>7.4981</v>
      </c>
      <c r="C107">
        <v>1</v>
      </c>
    </row>
    <row r="108" spans="1:3" x14ac:dyDescent="0.2">
      <c r="A108" t="s">
        <v>33</v>
      </c>
      <c r="B108">
        <v>10.337</v>
      </c>
      <c r="C108">
        <v>1</v>
      </c>
    </row>
    <row r="109" spans="1:3" x14ac:dyDescent="0.2">
      <c r="A109" t="s">
        <v>33</v>
      </c>
      <c r="B109">
        <v>9.4349000000000007</v>
      </c>
      <c r="C109">
        <v>4</v>
      </c>
    </row>
    <row r="110" spans="1:3" x14ac:dyDescent="0.2">
      <c r="A110" t="s">
        <v>33</v>
      </c>
      <c r="B110">
        <v>5.5556000000000001</v>
      </c>
      <c r="C110">
        <v>1</v>
      </c>
    </row>
    <row r="111" spans="1:3" x14ac:dyDescent="0.2">
      <c r="A111" t="s">
        <v>33</v>
      </c>
      <c r="B111">
        <v>5.8832000000000004</v>
      </c>
      <c r="C111">
        <v>2</v>
      </c>
    </row>
    <row r="112" spans="1:3" x14ac:dyDescent="0.2">
      <c r="A112" t="s">
        <v>33</v>
      </c>
      <c r="B112">
        <v>5.3590999999999998</v>
      </c>
      <c r="C112">
        <v>3</v>
      </c>
    </row>
    <row r="113" spans="1:3" x14ac:dyDescent="0.2">
      <c r="A113" t="s">
        <v>33</v>
      </c>
      <c r="B113">
        <v>4.7872000000000003</v>
      </c>
      <c r="C113">
        <v>1</v>
      </c>
    </row>
    <row r="114" spans="1:3" x14ac:dyDescent="0.2">
      <c r="A114" t="s">
        <v>33</v>
      </c>
      <c r="B114">
        <v>4.6539999999999999</v>
      </c>
      <c r="C114">
        <v>9</v>
      </c>
    </row>
    <row r="115" spans="1:3" x14ac:dyDescent="0.2">
      <c r="A115" t="s">
        <v>33</v>
      </c>
      <c r="B115">
        <v>4.1475</v>
      </c>
      <c r="C115">
        <v>3</v>
      </c>
    </row>
    <row r="116" spans="1:3" x14ac:dyDescent="0.2">
      <c r="A116" t="s">
        <v>33</v>
      </c>
      <c r="B116">
        <v>3.4411999999999998</v>
      </c>
      <c r="C116">
        <v>8</v>
      </c>
    </row>
    <row r="117" spans="1:3" x14ac:dyDescent="0.2">
      <c r="A117" t="s">
        <v>33</v>
      </c>
      <c r="B117">
        <v>1.8478000000000001</v>
      </c>
      <c r="C117">
        <v>4</v>
      </c>
    </row>
    <row r="118" spans="1:3" x14ac:dyDescent="0.2">
      <c r="A118" t="s">
        <v>33</v>
      </c>
      <c r="B118">
        <v>1.7574000000000001</v>
      </c>
      <c r="C118">
        <v>5</v>
      </c>
    </row>
    <row r="119" spans="1:3" x14ac:dyDescent="0.2">
      <c r="A119" t="s">
        <v>33</v>
      </c>
      <c r="B119">
        <v>1.9061999999999999</v>
      </c>
      <c r="C119">
        <v>6</v>
      </c>
    </row>
    <row r="120" spans="1:3" x14ac:dyDescent="0.2">
      <c r="A120" t="s">
        <v>33</v>
      </c>
      <c r="B120">
        <v>1.3246</v>
      </c>
      <c r="C120">
        <v>7</v>
      </c>
    </row>
    <row r="121" spans="1:3" x14ac:dyDescent="0.2">
      <c r="A121" t="s">
        <v>33</v>
      </c>
      <c r="B121">
        <v>1.1932</v>
      </c>
      <c r="C121">
        <v>8</v>
      </c>
    </row>
    <row r="122" spans="1:3" x14ac:dyDescent="0.2">
      <c r="A122" t="s">
        <v>33</v>
      </c>
      <c r="B122">
        <v>0.99719999999999998</v>
      </c>
      <c r="C122">
        <v>9</v>
      </c>
    </row>
    <row r="123" spans="1:3" x14ac:dyDescent="0.2">
      <c r="A123" t="s">
        <v>33</v>
      </c>
      <c r="B123">
        <v>0.83179999999999998</v>
      </c>
      <c r="C123">
        <v>8</v>
      </c>
    </row>
    <row r="124" spans="1:3" x14ac:dyDescent="0.2">
      <c r="A124" t="s">
        <v>33</v>
      </c>
      <c r="B124">
        <v>0.82179999999999997</v>
      </c>
      <c r="C124">
        <v>6</v>
      </c>
    </row>
    <row r="125" spans="1:3" x14ac:dyDescent="0.2">
      <c r="A125" t="s">
        <v>33</v>
      </c>
      <c r="B125">
        <v>0.44109999999999999</v>
      </c>
      <c r="C125">
        <v>6</v>
      </c>
    </row>
    <row r="126" spans="1:3" x14ac:dyDescent="0.2">
      <c r="A126" t="s">
        <v>33</v>
      </c>
      <c r="B126">
        <v>0.25979999999999998</v>
      </c>
      <c r="C126">
        <v>9</v>
      </c>
    </row>
    <row r="127" spans="1:3" x14ac:dyDescent="0.2">
      <c r="A127" t="s">
        <v>33</v>
      </c>
      <c r="B127">
        <v>0.23960000000000001</v>
      </c>
      <c r="C127">
        <v>8</v>
      </c>
    </row>
    <row r="128" spans="1:3" x14ac:dyDescent="0.2">
      <c r="A128" t="s">
        <v>33</v>
      </c>
      <c r="B128">
        <v>0.61450000000000005</v>
      </c>
      <c r="C128">
        <v>5</v>
      </c>
    </row>
    <row r="129" spans="1:3" x14ac:dyDescent="0.2">
      <c r="A129" t="s">
        <v>33</v>
      </c>
      <c r="B129">
        <v>1.6102000000000001</v>
      </c>
      <c r="C129">
        <v>7</v>
      </c>
    </row>
    <row r="130" spans="1:3" x14ac:dyDescent="0.2">
      <c r="A130" t="s">
        <v>33</v>
      </c>
      <c r="B130">
        <v>1.6879</v>
      </c>
      <c r="C130">
        <v>7</v>
      </c>
    </row>
    <row r="131" spans="1:3" x14ac:dyDescent="0.2">
      <c r="A131" t="s">
        <v>33</v>
      </c>
      <c r="B131">
        <v>1.9012</v>
      </c>
      <c r="C131">
        <v>9</v>
      </c>
    </row>
    <row r="132" spans="1:3" x14ac:dyDescent="0.2">
      <c r="A132" t="s">
        <v>33</v>
      </c>
      <c r="B132">
        <v>2.5074999999999998</v>
      </c>
      <c r="C132">
        <v>5</v>
      </c>
    </row>
    <row r="133" spans="1:3" x14ac:dyDescent="0.2">
      <c r="A133" t="s">
        <v>33</v>
      </c>
      <c r="B133">
        <v>2.5758999999999999</v>
      </c>
      <c r="C133">
        <v>4</v>
      </c>
    </row>
    <row r="134" spans="1:3" x14ac:dyDescent="0.2">
      <c r="A134" t="s">
        <v>33</v>
      </c>
      <c r="B134">
        <v>2.8873000000000002</v>
      </c>
      <c r="C134">
        <v>7</v>
      </c>
    </row>
    <row r="135" spans="1:3" x14ac:dyDescent="0.2">
      <c r="A135" t="s">
        <v>33</v>
      </c>
      <c r="B135">
        <v>2.5028000000000001</v>
      </c>
      <c r="C135">
        <v>1</v>
      </c>
    </row>
    <row r="136" spans="1:3" x14ac:dyDescent="0.2">
      <c r="A136" t="s">
        <v>33</v>
      </c>
      <c r="B136">
        <v>1.9060999999999999</v>
      </c>
      <c r="C136">
        <v>1</v>
      </c>
    </row>
    <row r="137" spans="1:3" x14ac:dyDescent="0.2">
      <c r="A137" t="s">
        <v>33</v>
      </c>
      <c r="B137">
        <v>6.1609999999999996</v>
      </c>
      <c r="C137">
        <v>1</v>
      </c>
    </row>
    <row r="138" spans="1:3" x14ac:dyDescent="0.2">
      <c r="A138" t="s">
        <v>33</v>
      </c>
      <c r="B138">
        <v>8.9314999999999998</v>
      </c>
      <c r="C138">
        <v>3</v>
      </c>
    </row>
    <row r="139" spans="1:3" x14ac:dyDescent="0.2">
      <c r="A139" t="s">
        <v>33</v>
      </c>
      <c r="B139">
        <v>7.6992000000000003</v>
      </c>
      <c r="C139">
        <v>5</v>
      </c>
    </row>
    <row r="140" spans="1:3" x14ac:dyDescent="0.2">
      <c r="A140" t="s">
        <v>33</v>
      </c>
      <c r="B140">
        <v>7.0890000000000004</v>
      </c>
      <c r="C140">
        <v>1</v>
      </c>
    </row>
    <row r="141" spans="1:3" x14ac:dyDescent="0.2">
      <c r="A141" t="s">
        <v>33</v>
      </c>
      <c r="B141">
        <v>4.2476000000000003</v>
      </c>
      <c r="C141">
        <v>2</v>
      </c>
    </row>
    <row r="142" spans="1:3" x14ac:dyDescent="0.2">
      <c r="A142" t="s">
        <v>33</v>
      </c>
      <c r="B142">
        <v>2.8481999999999998</v>
      </c>
      <c r="C142">
        <v>2</v>
      </c>
    </row>
    <row r="143" spans="1:3" x14ac:dyDescent="0.2">
      <c r="A143" t="s">
        <v>33</v>
      </c>
      <c r="B143">
        <v>4.2596999999999996</v>
      </c>
      <c r="C143">
        <v>4</v>
      </c>
    </row>
    <row r="144" spans="1:3" x14ac:dyDescent="0.2">
      <c r="A144" t="s">
        <v>33</v>
      </c>
      <c r="B144">
        <v>3.9125999999999999</v>
      </c>
      <c r="C144">
        <v>5</v>
      </c>
    </row>
    <row r="145" spans="1:3" x14ac:dyDescent="0.2">
      <c r="A145" t="s">
        <v>33</v>
      </c>
      <c r="B145">
        <v>3.9777999999999998</v>
      </c>
      <c r="C145">
        <v>5</v>
      </c>
    </row>
    <row r="146" spans="1:3" x14ac:dyDescent="0.2">
      <c r="A146" t="s">
        <v>33</v>
      </c>
      <c r="B146">
        <v>3.0404</v>
      </c>
      <c r="C146">
        <v>8</v>
      </c>
    </row>
  </sheetData>
  <sortState xmlns:xlrd2="http://schemas.microsoft.com/office/spreadsheetml/2017/richdata2" ref="A1:C146">
    <sortCondition ref="A1:A1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5A6C-949F-E24A-8984-C0B546715627}">
  <dimension ref="A1:R775"/>
  <sheetViews>
    <sheetView topLeftCell="A144" workbookViewId="0">
      <selection activeCell="G163" sqref="G163:G771"/>
    </sheetView>
  </sheetViews>
  <sheetFormatPr baseColWidth="10" defaultRowHeight="16" x14ac:dyDescent="0.2"/>
  <sheetData>
    <row r="1" spans="1:2" x14ac:dyDescent="0.2">
      <c r="B1" t="s">
        <v>0</v>
      </c>
    </row>
    <row r="2" spans="1:2" x14ac:dyDescent="0.2">
      <c r="B2" t="s">
        <v>1</v>
      </c>
    </row>
    <row r="4" spans="1:2" x14ac:dyDescent="0.2">
      <c r="A4" t="s">
        <v>2</v>
      </c>
    </row>
    <row r="5" spans="1:2" x14ac:dyDescent="0.2">
      <c r="A5" t="s">
        <v>666</v>
      </c>
    </row>
    <row r="6" spans="1:2" x14ac:dyDescent="0.2">
      <c r="A6" t="s">
        <v>667</v>
      </c>
    </row>
    <row r="7" spans="1:2" x14ac:dyDescent="0.2">
      <c r="A7" t="s">
        <v>668</v>
      </c>
    </row>
    <row r="8" spans="1:2" x14ac:dyDescent="0.2">
      <c r="A8" t="s">
        <v>669</v>
      </c>
    </row>
    <row r="9" spans="1:2" x14ac:dyDescent="0.2">
      <c r="A9" t="s">
        <v>670</v>
      </c>
    </row>
    <row r="10" spans="1:2" x14ac:dyDescent="0.2">
      <c r="A10" t="s">
        <v>671</v>
      </c>
    </row>
    <row r="11" spans="1:2" x14ac:dyDescent="0.2">
      <c r="A11" t="s">
        <v>672</v>
      </c>
    </row>
    <row r="12" spans="1:2" x14ac:dyDescent="0.2">
      <c r="A12" t="s">
        <v>673</v>
      </c>
    </row>
    <row r="13" spans="1:2" x14ac:dyDescent="0.2">
      <c r="A13" t="s">
        <v>674</v>
      </c>
    </row>
    <row r="15" spans="1:2" x14ac:dyDescent="0.2">
      <c r="A15" t="s">
        <v>12</v>
      </c>
    </row>
    <row r="17" spans="1:10" x14ac:dyDescent="0.2">
      <c r="A17" t="e" cm="1">
        <f t="array" ref="A17">- POS: The position of The acid in The sequence.</f>
        <v>#NAME?</v>
      </c>
    </row>
    <row r="18" spans="1:10" x14ac:dyDescent="0.2">
      <c r="A18" t="e" cm="1">
        <f t="array" ref="A18">- SEQ: The acid one letter.</f>
        <v>#NAME?</v>
      </c>
    </row>
    <row r="19" spans="1:10" x14ac:dyDescent="0.2">
      <c r="A19" t="s">
        <v>13</v>
      </c>
    </row>
    <row r="20" spans="1:10" x14ac:dyDescent="0.2">
      <c r="A20" t="e" cm="1">
        <f t="array" ref="A20">- SCORE: The normalized conservation scores.</f>
        <v>#NAME?</v>
      </c>
    </row>
    <row r="21" spans="1:10" x14ac:dyDescent="0.2">
      <c r="A21" t="s">
        <v>14</v>
      </c>
    </row>
    <row r="22" spans="1:10" x14ac:dyDescent="0.2">
      <c r="A22" t="s">
        <v>15</v>
      </c>
    </row>
    <row r="23" spans="1:10" x14ac:dyDescent="0.2">
      <c r="A23" t="s">
        <v>16</v>
      </c>
    </row>
    <row r="24" spans="1:10" x14ac:dyDescent="0.2">
      <c r="A24" t="s">
        <v>17</v>
      </c>
    </row>
    <row r="25" spans="1:10" x14ac:dyDescent="0.2">
      <c r="A25" t="s">
        <v>18</v>
      </c>
    </row>
    <row r="26" spans="1:10" x14ac:dyDescent="0.2">
      <c r="A26" t="s">
        <v>19</v>
      </c>
    </row>
    <row r="28" spans="1:10" x14ac:dyDescent="0.2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</row>
    <row r="30" spans="1:10" x14ac:dyDescent="0.2">
      <c r="A30">
        <v>1</v>
      </c>
      <c r="B30" t="s">
        <v>30</v>
      </c>
      <c r="C30" t="s">
        <v>31</v>
      </c>
      <c r="D30">
        <v>-0.89200000000000002</v>
      </c>
      <c r="E30">
        <v>9</v>
      </c>
      <c r="F30" t="s">
        <v>675</v>
      </c>
      <c r="G30" t="s">
        <v>33</v>
      </c>
      <c r="H30" t="s">
        <v>34</v>
      </c>
      <c r="I30" t="s">
        <v>676</v>
      </c>
      <c r="J30" t="s">
        <v>677</v>
      </c>
    </row>
    <row r="31" spans="1:10" x14ac:dyDescent="0.2">
      <c r="A31">
        <v>2</v>
      </c>
      <c r="B31" t="s">
        <v>37</v>
      </c>
      <c r="C31" t="s">
        <v>38</v>
      </c>
      <c r="D31">
        <v>0.58199999999999996</v>
      </c>
      <c r="E31">
        <v>4</v>
      </c>
      <c r="F31" t="s">
        <v>678</v>
      </c>
      <c r="G31" t="s">
        <v>33</v>
      </c>
      <c r="H31" t="s">
        <v>40</v>
      </c>
      <c r="I31" t="s">
        <v>679</v>
      </c>
      <c r="J31" t="s">
        <v>680</v>
      </c>
    </row>
    <row r="32" spans="1:10" x14ac:dyDescent="0.2">
      <c r="A32">
        <v>3</v>
      </c>
      <c r="B32" t="s">
        <v>37</v>
      </c>
      <c r="C32" t="s">
        <v>681</v>
      </c>
      <c r="D32">
        <v>0.63900000000000001</v>
      </c>
      <c r="E32">
        <v>4</v>
      </c>
      <c r="F32" t="s">
        <v>682</v>
      </c>
      <c r="G32" t="s">
        <v>33</v>
      </c>
      <c r="H32" t="s">
        <v>40</v>
      </c>
      <c r="I32" t="s">
        <v>419</v>
      </c>
      <c r="J32" t="s">
        <v>683</v>
      </c>
    </row>
    <row r="33" spans="1:10" x14ac:dyDescent="0.2">
      <c r="A33">
        <v>4</v>
      </c>
      <c r="B33" t="s">
        <v>43</v>
      </c>
      <c r="C33" t="s">
        <v>48</v>
      </c>
      <c r="D33">
        <v>2.448</v>
      </c>
      <c r="E33">
        <v>2</v>
      </c>
      <c r="F33" t="s">
        <v>684</v>
      </c>
      <c r="G33" t="s">
        <v>33</v>
      </c>
      <c r="H33" t="s">
        <v>40</v>
      </c>
      <c r="I33" t="s">
        <v>419</v>
      </c>
      <c r="J33" t="s">
        <v>685</v>
      </c>
    </row>
    <row r="34" spans="1:10" x14ac:dyDescent="0.2">
      <c r="A34">
        <v>5</v>
      </c>
      <c r="B34" t="s">
        <v>94</v>
      </c>
      <c r="C34" t="s">
        <v>686</v>
      </c>
      <c r="D34">
        <v>1.4770000000000001</v>
      </c>
      <c r="E34">
        <v>3</v>
      </c>
      <c r="F34" t="s">
        <v>687</v>
      </c>
      <c r="G34" t="s">
        <v>33</v>
      </c>
      <c r="H34" t="s">
        <v>40</v>
      </c>
      <c r="I34" t="s">
        <v>592</v>
      </c>
      <c r="J34" t="s">
        <v>688</v>
      </c>
    </row>
    <row r="35" spans="1:10" x14ac:dyDescent="0.2">
      <c r="A35">
        <v>6</v>
      </c>
      <c r="B35" t="s">
        <v>123</v>
      </c>
      <c r="C35" t="s">
        <v>689</v>
      </c>
      <c r="D35">
        <v>0.44900000000000001</v>
      </c>
      <c r="E35">
        <v>4</v>
      </c>
      <c r="F35" t="s">
        <v>690</v>
      </c>
      <c r="G35" t="s">
        <v>33</v>
      </c>
      <c r="H35" t="s">
        <v>40</v>
      </c>
      <c r="I35" t="s">
        <v>598</v>
      </c>
      <c r="J35" t="s">
        <v>691</v>
      </c>
    </row>
    <row r="36" spans="1:10" x14ac:dyDescent="0.2">
      <c r="A36">
        <v>7</v>
      </c>
      <c r="B36" t="s">
        <v>97</v>
      </c>
      <c r="C36" t="s">
        <v>692</v>
      </c>
      <c r="D36">
        <v>0.12</v>
      </c>
      <c r="E36">
        <v>5</v>
      </c>
      <c r="F36" t="s">
        <v>693</v>
      </c>
      <c r="G36" t="s">
        <v>33</v>
      </c>
      <c r="H36" t="s">
        <v>40</v>
      </c>
      <c r="I36" t="s">
        <v>595</v>
      </c>
      <c r="J36" t="s">
        <v>694</v>
      </c>
    </row>
    <row r="37" spans="1:10" x14ac:dyDescent="0.2">
      <c r="A37">
        <v>8</v>
      </c>
      <c r="B37" t="s">
        <v>123</v>
      </c>
      <c r="C37" t="s">
        <v>695</v>
      </c>
      <c r="D37">
        <v>8.5000000000000006E-2</v>
      </c>
      <c r="E37">
        <v>5</v>
      </c>
      <c r="F37" t="s">
        <v>696</v>
      </c>
      <c r="G37" t="s">
        <v>33</v>
      </c>
      <c r="H37" t="s">
        <v>40</v>
      </c>
      <c r="I37" t="s">
        <v>574</v>
      </c>
      <c r="J37" t="s">
        <v>697</v>
      </c>
    </row>
    <row r="38" spans="1:10" x14ac:dyDescent="0.2">
      <c r="A38">
        <v>9</v>
      </c>
      <c r="B38" t="s">
        <v>52</v>
      </c>
      <c r="C38" t="s">
        <v>698</v>
      </c>
      <c r="D38">
        <v>0.45100000000000001</v>
      </c>
      <c r="E38">
        <v>4</v>
      </c>
      <c r="F38" t="s">
        <v>690</v>
      </c>
      <c r="G38" t="s">
        <v>64</v>
      </c>
      <c r="H38" t="s">
        <v>40</v>
      </c>
      <c r="I38" t="s">
        <v>610</v>
      </c>
      <c r="J38" t="s">
        <v>699</v>
      </c>
    </row>
    <row r="39" spans="1:10" x14ac:dyDescent="0.2">
      <c r="A39">
        <v>10</v>
      </c>
      <c r="B39" t="s">
        <v>52</v>
      </c>
      <c r="C39" t="s">
        <v>700</v>
      </c>
      <c r="D39">
        <v>-4.3999999999999997E-2</v>
      </c>
      <c r="E39">
        <v>5</v>
      </c>
      <c r="F39" t="s">
        <v>701</v>
      </c>
      <c r="G39" t="s">
        <v>33</v>
      </c>
      <c r="H39" t="s">
        <v>40</v>
      </c>
      <c r="I39" t="s">
        <v>702</v>
      </c>
      <c r="J39" t="s">
        <v>703</v>
      </c>
    </row>
    <row r="40" spans="1:10" x14ac:dyDescent="0.2">
      <c r="A40">
        <v>11</v>
      </c>
      <c r="B40" t="s">
        <v>94</v>
      </c>
      <c r="C40" t="s">
        <v>704</v>
      </c>
      <c r="D40">
        <v>-3.2000000000000001E-2</v>
      </c>
      <c r="E40">
        <v>5</v>
      </c>
      <c r="F40" t="s">
        <v>705</v>
      </c>
      <c r="G40" t="s">
        <v>64</v>
      </c>
      <c r="H40" t="s">
        <v>40</v>
      </c>
      <c r="I40" t="s">
        <v>706</v>
      </c>
      <c r="J40" t="s">
        <v>707</v>
      </c>
    </row>
    <row r="41" spans="1:10" x14ac:dyDescent="0.2">
      <c r="A41">
        <v>12</v>
      </c>
      <c r="B41" t="s">
        <v>142</v>
      </c>
      <c r="C41" t="s">
        <v>708</v>
      </c>
      <c r="D41">
        <v>0.64600000000000002</v>
      </c>
      <c r="E41">
        <v>4</v>
      </c>
      <c r="F41" t="s">
        <v>682</v>
      </c>
      <c r="G41" t="s">
        <v>64</v>
      </c>
      <c r="H41" t="s">
        <v>40</v>
      </c>
      <c r="I41" t="s">
        <v>706</v>
      </c>
      <c r="J41" t="s">
        <v>709</v>
      </c>
    </row>
    <row r="42" spans="1:10" x14ac:dyDescent="0.2">
      <c r="A42">
        <v>13</v>
      </c>
      <c r="B42" t="s">
        <v>123</v>
      </c>
      <c r="C42" t="s">
        <v>710</v>
      </c>
      <c r="D42">
        <v>0.24299999999999999</v>
      </c>
      <c r="E42">
        <v>5</v>
      </c>
      <c r="F42" t="s">
        <v>711</v>
      </c>
      <c r="G42" t="s">
        <v>33</v>
      </c>
      <c r="H42" t="s">
        <v>40</v>
      </c>
      <c r="I42" t="s">
        <v>706</v>
      </c>
      <c r="J42" t="s">
        <v>712</v>
      </c>
    </row>
    <row r="43" spans="1:10" x14ac:dyDescent="0.2">
      <c r="A43">
        <v>14</v>
      </c>
      <c r="B43" t="s">
        <v>43</v>
      </c>
      <c r="C43" t="s">
        <v>713</v>
      </c>
      <c r="D43">
        <v>-0.61</v>
      </c>
      <c r="E43">
        <v>8</v>
      </c>
      <c r="F43" t="s">
        <v>714</v>
      </c>
      <c r="G43" t="s">
        <v>33</v>
      </c>
      <c r="H43" t="s">
        <v>34</v>
      </c>
      <c r="I43" t="s">
        <v>702</v>
      </c>
      <c r="J43" t="s">
        <v>715</v>
      </c>
    </row>
    <row r="44" spans="1:10" x14ac:dyDescent="0.2">
      <c r="A44">
        <v>15</v>
      </c>
      <c r="B44" t="s">
        <v>52</v>
      </c>
      <c r="C44" t="s">
        <v>716</v>
      </c>
      <c r="D44">
        <v>-0.90700000000000003</v>
      </c>
      <c r="E44">
        <v>9</v>
      </c>
      <c r="F44" t="s">
        <v>717</v>
      </c>
      <c r="G44" t="s">
        <v>64</v>
      </c>
      <c r="H44" t="s">
        <v>65</v>
      </c>
      <c r="I44" t="s">
        <v>702</v>
      </c>
      <c r="J44" t="s">
        <v>718</v>
      </c>
    </row>
    <row r="45" spans="1:10" x14ac:dyDescent="0.2">
      <c r="A45">
        <v>16</v>
      </c>
      <c r="B45" t="s">
        <v>74</v>
      </c>
      <c r="C45" t="s">
        <v>719</v>
      </c>
      <c r="D45">
        <v>-0.17599999999999999</v>
      </c>
      <c r="E45">
        <v>6</v>
      </c>
      <c r="F45" t="s">
        <v>720</v>
      </c>
      <c r="G45" t="s">
        <v>33</v>
      </c>
      <c r="H45" t="s">
        <v>40</v>
      </c>
      <c r="I45" t="s">
        <v>702</v>
      </c>
      <c r="J45" t="s">
        <v>721</v>
      </c>
    </row>
    <row r="46" spans="1:10" x14ac:dyDescent="0.2">
      <c r="A46">
        <v>17</v>
      </c>
      <c r="B46" t="s">
        <v>97</v>
      </c>
      <c r="C46" t="s">
        <v>722</v>
      </c>
      <c r="D46">
        <v>-0.26900000000000002</v>
      </c>
      <c r="E46">
        <v>6</v>
      </c>
      <c r="F46" t="s">
        <v>723</v>
      </c>
      <c r="G46" t="s">
        <v>33</v>
      </c>
      <c r="H46" t="s">
        <v>40</v>
      </c>
      <c r="I46" t="s">
        <v>702</v>
      </c>
      <c r="J46" t="s">
        <v>724</v>
      </c>
    </row>
    <row r="47" spans="1:10" x14ac:dyDescent="0.2">
      <c r="A47">
        <v>18</v>
      </c>
      <c r="B47" t="s">
        <v>142</v>
      </c>
      <c r="C47" t="s">
        <v>725</v>
      </c>
      <c r="D47">
        <v>-0.222</v>
      </c>
      <c r="E47">
        <v>6</v>
      </c>
      <c r="F47" t="s">
        <v>726</v>
      </c>
      <c r="G47" t="s">
        <v>64</v>
      </c>
      <c r="H47" t="s">
        <v>40</v>
      </c>
      <c r="I47" t="s">
        <v>702</v>
      </c>
      <c r="J47" t="s">
        <v>727</v>
      </c>
    </row>
    <row r="48" spans="1:10" x14ac:dyDescent="0.2">
      <c r="A48">
        <v>19</v>
      </c>
      <c r="B48" t="s">
        <v>52</v>
      </c>
      <c r="C48" t="s">
        <v>728</v>
      </c>
      <c r="D48">
        <v>-0.53700000000000003</v>
      </c>
      <c r="E48">
        <v>8</v>
      </c>
      <c r="F48" t="s">
        <v>729</v>
      </c>
      <c r="G48" t="s">
        <v>64</v>
      </c>
      <c r="H48" t="s">
        <v>40</v>
      </c>
      <c r="I48" t="s">
        <v>702</v>
      </c>
      <c r="J48" t="s">
        <v>730</v>
      </c>
    </row>
    <row r="49" spans="1:10" x14ac:dyDescent="0.2">
      <c r="A49">
        <v>20</v>
      </c>
      <c r="B49" t="s">
        <v>74</v>
      </c>
      <c r="C49" t="s">
        <v>731</v>
      </c>
      <c r="D49">
        <v>0.188</v>
      </c>
      <c r="E49">
        <v>5</v>
      </c>
      <c r="F49" t="s">
        <v>711</v>
      </c>
      <c r="G49" t="s">
        <v>33</v>
      </c>
      <c r="H49" t="s">
        <v>40</v>
      </c>
      <c r="I49" t="s">
        <v>702</v>
      </c>
      <c r="J49" t="s">
        <v>732</v>
      </c>
    </row>
    <row r="50" spans="1:10" x14ac:dyDescent="0.2">
      <c r="A50">
        <v>21</v>
      </c>
      <c r="B50" t="s">
        <v>37</v>
      </c>
      <c r="C50" t="s">
        <v>733</v>
      </c>
      <c r="D50">
        <v>-0.30299999999999999</v>
      </c>
      <c r="E50">
        <v>6</v>
      </c>
      <c r="F50" t="s">
        <v>734</v>
      </c>
      <c r="G50" t="s">
        <v>33</v>
      </c>
      <c r="H50" t="s">
        <v>40</v>
      </c>
      <c r="I50" t="s">
        <v>735</v>
      </c>
      <c r="J50" t="s">
        <v>736</v>
      </c>
    </row>
    <row r="51" spans="1:10" x14ac:dyDescent="0.2">
      <c r="A51">
        <v>22</v>
      </c>
      <c r="B51" t="s">
        <v>118</v>
      </c>
      <c r="C51" t="s">
        <v>737</v>
      </c>
      <c r="D51">
        <v>-0.245</v>
      </c>
      <c r="E51">
        <v>6</v>
      </c>
      <c r="F51" t="s">
        <v>723</v>
      </c>
      <c r="G51" t="s">
        <v>64</v>
      </c>
      <c r="H51" t="s">
        <v>40</v>
      </c>
      <c r="I51" t="s">
        <v>735</v>
      </c>
      <c r="J51" t="s">
        <v>738</v>
      </c>
    </row>
    <row r="52" spans="1:10" x14ac:dyDescent="0.2">
      <c r="A52">
        <v>23</v>
      </c>
      <c r="B52" t="s">
        <v>74</v>
      </c>
      <c r="C52" t="s">
        <v>739</v>
      </c>
      <c r="D52">
        <v>-0.39500000000000002</v>
      </c>
      <c r="E52">
        <v>7</v>
      </c>
      <c r="F52" t="s">
        <v>740</v>
      </c>
      <c r="G52" t="s">
        <v>33</v>
      </c>
      <c r="H52" t="s">
        <v>40</v>
      </c>
      <c r="I52" t="s">
        <v>706</v>
      </c>
      <c r="J52" t="s">
        <v>741</v>
      </c>
    </row>
    <row r="53" spans="1:10" x14ac:dyDescent="0.2">
      <c r="A53">
        <v>24</v>
      </c>
      <c r="B53" t="s">
        <v>74</v>
      </c>
      <c r="C53" t="s">
        <v>742</v>
      </c>
      <c r="D53">
        <v>0.55100000000000005</v>
      </c>
      <c r="E53">
        <v>4</v>
      </c>
      <c r="F53" t="s">
        <v>678</v>
      </c>
      <c r="G53" t="s">
        <v>33</v>
      </c>
      <c r="H53" t="s">
        <v>40</v>
      </c>
      <c r="I53" t="s">
        <v>735</v>
      </c>
      <c r="J53" t="s">
        <v>743</v>
      </c>
    </row>
    <row r="54" spans="1:10" x14ac:dyDescent="0.2">
      <c r="A54">
        <v>25</v>
      </c>
      <c r="B54" t="s">
        <v>135</v>
      </c>
      <c r="C54" t="s">
        <v>136</v>
      </c>
      <c r="D54">
        <v>0.28599999999999998</v>
      </c>
      <c r="E54">
        <v>5</v>
      </c>
      <c r="F54" t="s">
        <v>744</v>
      </c>
      <c r="G54" t="s">
        <v>33</v>
      </c>
      <c r="H54" t="s">
        <v>40</v>
      </c>
      <c r="I54" t="s">
        <v>735</v>
      </c>
      <c r="J54" t="s">
        <v>745</v>
      </c>
    </row>
    <row r="55" spans="1:10" x14ac:dyDescent="0.2">
      <c r="A55">
        <v>26</v>
      </c>
      <c r="B55" t="s">
        <v>52</v>
      </c>
      <c r="C55" t="s">
        <v>746</v>
      </c>
      <c r="D55">
        <v>-0.29399999999999998</v>
      </c>
      <c r="E55">
        <v>6</v>
      </c>
      <c r="F55" t="s">
        <v>723</v>
      </c>
      <c r="G55" t="s">
        <v>64</v>
      </c>
      <c r="H55" t="s">
        <v>40</v>
      </c>
      <c r="I55" t="s">
        <v>706</v>
      </c>
      <c r="J55" t="s">
        <v>747</v>
      </c>
    </row>
    <row r="56" spans="1:10" x14ac:dyDescent="0.2">
      <c r="A56">
        <v>27</v>
      </c>
      <c r="B56" t="s">
        <v>52</v>
      </c>
      <c r="C56" t="s">
        <v>748</v>
      </c>
      <c r="D56">
        <v>1.079</v>
      </c>
      <c r="E56">
        <v>3</v>
      </c>
      <c r="F56" t="s">
        <v>749</v>
      </c>
      <c r="G56" t="s">
        <v>33</v>
      </c>
      <c r="H56" t="s">
        <v>40</v>
      </c>
      <c r="I56" t="s">
        <v>610</v>
      </c>
      <c r="J56" t="s">
        <v>750</v>
      </c>
    </row>
    <row r="57" spans="1:10" x14ac:dyDescent="0.2">
      <c r="A57">
        <v>28</v>
      </c>
      <c r="B57" t="s">
        <v>74</v>
      </c>
      <c r="C57" t="s">
        <v>751</v>
      </c>
      <c r="D57">
        <v>-0.28699999999999998</v>
      </c>
      <c r="E57">
        <v>6</v>
      </c>
      <c r="F57" t="s">
        <v>734</v>
      </c>
      <c r="G57" t="s">
        <v>33</v>
      </c>
      <c r="H57" t="s">
        <v>40</v>
      </c>
      <c r="I57" t="s">
        <v>752</v>
      </c>
      <c r="J57" t="s">
        <v>753</v>
      </c>
    </row>
    <row r="58" spans="1:10" x14ac:dyDescent="0.2">
      <c r="A58">
        <v>29</v>
      </c>
      <c r="B58" t="s">
        <v>74</v>
      </c>
      <c r="C58" t="s">
        <v>754</v>
      </c>
      <c r="D58">
        <v>-0.63300000000000001</v>
      </c>
      <c r="E58">
        <v>8</v>
      </c>
      <c r="F58" t="s">
        <v>755</v>
      </c>
      <c r="G58" t="s">
        <v>33</v>
      </c>
      <c r="H58" t="s">
        <v>34</v>
      </c>
      <c r="I58" t="s">
        <v>419</v>
      </c>
      <c r="J58" t="s">
        <v>756</v>
      </c>
    </row>
    <row r="59" spans="1:10" x14ac:dyDescent="0.2">
      <c r="A59">
        <v>30</v>
      </c>
      <c r="B59" t="s">
        <v>118</v>
      </c>
      <c r="C59" t="s">
        <v>151</v>
      </c>
      <c r="D59">
        <v>0.255</v>
      </c>
      <c r="E59">
        <v>5</v>
      </c>
      <c r="F59" t="s">
        <v>711</v>
      </c>
      <c r="G59" t="s">
        <v>64</v>
      </c>
      <c r="H59" t="s">
        <v>40</v>
      </c>
      <c r="I59" t="s">
        <v>757</v>
      </c>
      <c r="J59" t="s">
        <v>758</v>
      </c>
    </row>
    <row r="60" spans="1:10" x14ac:dyDescent="0.2">
      <c r="A60">
        <v>31</v>
      </c>
      <c r="B60" t="s">
        <v>118</v>
      </c>
      <c r="C60" t="s">
        <v>153</v>
      </c>
      <c r="D60">
        <v>0.93899999999999995</v>
      </c>
      <c r="E60">
        <v>4</v>
      </c>
      <c r="F60" t="s">
        <v>759</v>
      </c>
      <c r="G60" t="s">
        <v>33</v>
      </c>
      <c r="H60" t="s">
        <v>40</v>
      </c>
      <c r="I60" t="s">
        <v>752</v>
      </c>
      <c r="J60" t="s">
        <v>760</v>
      </c>
    </row>
    <row r="61" spans="1:10" x14ac:dyDescent="0.2">
      <c r="A61">
        <v>32</v>
      </c>
      <c r="B61" t="s">
        <v>74</v>
      </c>
      <c r="C61" t="s">
        <v>761</v>
      </c>
      <c r="D61">
        <v>0.33600000000000002</v>
      </c>
      <c r="E61">
        <v>5</v>
      </c>
      <c r="F61" t="s">
        <v>744</v>
      </c>
      <c r="G61" t="s">
        <v>33</v>
      </c>
      <c r="H61" t="s">
        <v>40</v>
      </c>
      <c r="I61" t="s">
        <v>752</v>
      </c>
      <c r="J61" t="s">
        <v>762</v>
      </c>
    </row>
    <row r="62" spans="1:10" x14ac:dyDescent="0.2">
      <c r="A62">
        <v>33</v>
      </c>
      <c r="B62" t="s">
        <v>43</v>
      </c>
      <c r="C62" t="s">
        <v>763</v>
      </c>
      <c r="D62">
        <v>1.1599999999999999</v>
      </c>
      <c r="E62">
        <v>3</v>
      </c>
      <c r="F62" t="s">
        <v>764</v>
      </c>
      <c r="G62" t="s">
        <v>64</v>
      </c>
      <c r="H62" t="s">
        <v>40</v>
      </c>
      <c r="I62" t="s">
        <v>752</v>
      </c>
      <c r="J62" t="s">
        <v>765</v>
      </c>
    </row>
    <row r="63" spans="1:10" x14ac:dyDescent="0.2">
      <c r="A63">
        <v>34</v>
      </c>
      <c r="B63" t="s">
        <v>113</v>
      </c>
      <c r="C63" t="s">
        <v>164</v>
      </c>
      <c r="D63">
        <v>0.82199999999999995</v>
      </c>
      <c r="E63">
        <v>4</v>
      </c>
      <c r="F63" t="s">
        <v>759</v>
      </c>
      <c r="G63" t="s">
        <v>33</v>
      </c>
      <c r="H63" t="s">
        <v>40</v>
      </c>
      <c r="I63" t="s">
        <v>757</v>
      </c>
      <c r="J63" t="s">
        <v>766</v>
      </c>
    </row>
    <row r="64" spans="1:10" x14ac:dyDescent="0.2">
      <c r="A64">
        <v>35</v>
      </c>
      <c r="B64" t="s">
        <v>97</v>
      </c>
      <c r="C64" t="s">
        <v>767</v>
      </c>
      <c r="D64">
        <v>0.20200000000000001</v>
      </c>
      <c r="E64">
        <v>5</v>
      </c>
      <c r="F64" t="s">
        <v>711</v>
      </c>
      <c r="G64" t="s">
        <v>33</v>
      </c>
      <c r="H64" t="s">
        <v>40</v>
      </c>
      <c r="I64" t="s">
        <v>595</v>
      </c>
      <c r="J64" t="s">
        <v>768</v>
      </c>
    </row>
    <row r="65" spans="1:10" x14ac:dyDescent="0.2">
      <c r="A65">
        <v>36</v>
      </c>
      <c r="B65" t="s">
        <v>123</v>
      </c>
      <c r="C65" t="s">
        <v>769</v>
      </c>
      <c r="D65">
        <v>0.95799999999999996</v>
      </c>
      <c r="E65">
        <v>4</v>
      </c>
      <c r="F65" t="s">
        <v>759</v>
      </c>
      <c r="G65" t="s">
        <v>33</v>
      </c>
      <c r="H65" t="s">
        <v>40</v>
      </c>
      <c r="I65" t="s">
        <v>610</v>
      </c>
      <c r="J65" t="s">
        <v>770</v>
      </c>
    </row>
    <row r="66" spans="1:10" x14ac:dyDescent="0.2">
      <c r="A66">
        <v>37</v>
      </c>
      <c r="B66" t="s">
        <v>118</v>
      </c>
      <c r="C66" t="s">
        <v>771</v>
      </c>
      <c r="D66">
        <v>0.28100000000000003</v>
      </c>
      <c r="E66">
        <v>5</v>
      </c>
      <c r="F66" t="s">
        <v>744</v>
      </c>
      <c r="G66" t="s">
        <v>64</v>
      </c>
      <c r="H66" t="s">
        <v>40</v>
      </c>
      <c r="I66" t="s">
        <v>702</v>
      </c>
      <c r="J66" t="s">
        <v>772</v>
      </c>
    </row>
    <row r="67" spans="1:10" x14ac:dyDescent="0.2">
      <c r="A67">
        <v>38</v>
      </c>
      <c r="B67" t="s">
        <v>127</v>
      </c>
      <c r="C67" t="s">
        <v>773</v>
      </c>
      <c r="D67">
        <v>0.74099999999999999</v>
      </c>
      <c r="E67">
        <v>4</v>
      </c>
      <c r="F67" t="s">
        <v>774</v>
      </c>
      <c r="G67" t="s">
        <v>33</v>
      </c>
      <c r="H67" t="s">
        <v>40</v>
      </c>
      <c r="I67" t="s">
        <v>412</v>
      </c>
      <c r="J67" t="s">
        <v>775</v>
      </c>
    </row>
    <row r="68" spans="1:10" x14ac:dyDescent="0.2">
      <c r="A68">
        <v>39</v>
      </c>
      <c r="B68" t="s">
        <v>97</v>
      </c>
      <c r="C68" t="s">
        <v>776</v>
      </c>
      <c r="D68">
        <v>-0.24</v>
      </c>
      <c r="E68">
        <v>6</v>
      </c>
      <c r="F68" t="s">
        <v>723</v>
      </c>
      <c r="G68" t="s">
        <v>33</v>
      </c>
      <c r="H68" t="s">
        <v>40</v>
      </c>
      <c r="I68" t="s">
        <v>412</v>
      </c>
      <c r="J68" t="s">
        <v>777</v>
      </c>
    </row>
    <row r="69" spans="1:10" x14ac:dyDescent="0.2">
      <c r="A69">
        <v>40</v>
      </c>
      <c r="B69" t="s">
        <v>37</v>
      </c>
      <c r="C69" t="s">
        <v>778</v>
      </c>
      <c r="D69">
        <v>0.29399999999999998</v>
      </c>
      <c r="E69">
        <v>5</v>
      </c>
      <c r="F69" t="s">
        <v>744</v>
      </c>
      <c r="G69" t="s">
        <v>33</v>
      </c>
      <c r="H69" t="s">
        <v>40</v>
      </c>
      <c r="I69" t="s">
        <v>412</v>
      </c>
      <c r="J69" t="s">
        <v>779</v>
      </c>
    </row>
    <row r="70" spans="1:10" x14ac:dyDescent="0.2">
      <c r="A70">
        <v>41</v>
      </c>
      <c r="B70" t="s">
        <v>57</v>
      </c>
      <c r="C70" t="s">
        <v>780</v>
      </c>
      <c r="D70">
        <v>-0.35799999999999998</v>
      </c>
      <c r="E70">
        <v>7</v>
      </c>
      <c r="F70" t="s">
        <v>781</v>
      </c>
      <c r="G70" t="s">
        <v>33</v>
      </c>
      <c r="H70" t="s">
        <v>40</v>
      </c>
      <c r="I70" t="s">
        <v>561</v>
      </c>
      <c r="J70" t="s">
        <v>782</v>
      </c>
    </row>
    <row r="71" spans="1:10" x14ac:dyDescent="0.2">
      <c r="A71">
        <v>42</v>
      </c>
      <c r="B71" t="s">
        <v>156</v>
      </c>
      <c r="C71" t="s">
        <v>186</v>
      </c>
      <c r="D71">
        <v>0.26600000000000001</v>
      </c>
      <c r="E71">
        <v>5</v>
      </c>
      <c r="F71" t="s">
        <v>783</v>
      </c>
      <c r="G71" t="s">
        <v>64</v>
      </c>
      <c r="H71" t="s">
        <v>40</v>
      </c>
      <c r="I71" t="s">
        <v>706</v>
      </c>
      <c r="J71" t="s">
        <v>784</v>
      </c>
    </row>
    <row r="72" spans="1:10" x14ac:dyDescent="0.2">
      <c r="A72">
        <v>43</v>
      </c>
      <c r="B72" t="s">
        <v>123</v>
      </c>
      <c r="C72" t="s">
        <v>785</v>
      </c>
      <c r="D72">
        <v>2.2090000000000001</v>
      </c>
      <c r="E72">
        <v>2</v>
      </c>
      <c r="F72" t="s">
        <v>684</v>
      </c>
      <c r="G72" t="s">
        <v>33</v>
      </c>
      <c r="H72" t="s">
        <v>40</v>
      </c>
      <c r="I72" t="s">
        <v>786</v>
      </c>
      <c r="J72" t="s">
        <v>787</v>
      </c>
    </row>
    <row r="73" spans="1:10" x14ac:dyDescent="0.2">
      <c r="A73">
        <v>44</v>
      </c>
      <c r="B73" t="s">
        <v>123</v>
      </c>
      <c r="C73" t="s">
        <v>788</v>
      </c>
      <c r="D73">
        <v>0.46500000000000002</v>
      </c>
      <c r="E73">
        <v>4</v>
      </c>
      <c r="F73" t="s">
        <v>678</v>
      </c>
      <c r="G73" t="s">
        <v>33</v>
      </c>
      <c r="H73" t="s">
        <v>40</v>
      </c>
      <c r="I73" t="s">
        <v>602</v>
      </c>
      <c r="J73" t="s">
        <v>789</v>
      </c>
    </row>
    <row r="74" spans="1:10" x14ac:dyDescent="0.2">
      <c r="A74">
        <v>45</v>
      </c>
      <c r="B74" t="s">
        <v>156</v>
      </c>
      <c r="C74" t="s">
        <v>790</v>
      </c>
      <c r="D74">
        <v>-9.5000000000000001E-2</v>
      </c>
      <c r="E74">
        <v>5</v>
      </c>
      <c r="F74" t="s">
        <v>791</v>
      </c>
      <c r="G74" t="s">
        <v>33</v>
      </c>
      <c r="H74" t="s">
        <v>40</v>
      </c>
      <c r="I74" t="s">
        <v>602</v>
      </c>
      <c r="J74" t="s">
        <v>792</v>
      </c>
    </row>
    <row r="75" spans="1:10" x14ac:dyDescent="0.2">
      <c r="A75">
        <v>46</v>
      </c>
      <c r="B75" t="s">
        <v>57</v>
      </c>
      <c r="C75" t="s">
        <v>793</v>
      </c>
      <c r="D75">
        <v>-0.373</v>
      </c>
      <c r="E75">
        <v>7</v>
      </c>
      <c r="F75" t="s">
        <v>794</v>
      </c>
      <c r="G75" t="s">
        <v>33</v>
      </c>
      <c r="H75" t="s">
        <v>40</v>
      </c>
      <c r="I75" t="s">
        <v>786</v>
      </c>
      <c r="J75" t="s">
        <v>795</v>
      </c>
    </row>
    <row r="76" spans="1:10" x14ac:dyDescent="0.2">
      <c r="A76">
        <v>47</v>
      </c>
      <c r="B76" t="s">
        <v>156</v>
      </c>
      <c r="C76" t="s">
        <v>796</v>
      </c>
      <c r="D76">
        <v>1.006</v>
      </c>
      <c r="E76">
        <v>4</v>
      </c>
      <c r="F76" t="s">
        <v>749</v>
      </c>
      <c r="G76" t="s">
        <v>33</v>
      </c>
      <c r="H76" t="s">
        <v>40</v>
      </c>
      <c r="I76" t="s">
        <v>786</v>
      </c>
      <c r="J76" t="s">
        <v>797</v>
      </c>
    </row>
    <row r="77" spans="1:10" x14ac:dyDescent="0.2">
      <c r="A77">
        <v>48</v>
      </c>
      <c r="B77" t="s">
        <v>123</v>
      </c>
      <c r="C77" t="s">
        <v>798</v>
      </c>
      <c r="D77">
        <v>-9.6000000000000002E-2</v>
      </c>
      <c r="E77">
        <v>5</v>
      </c>
      <c r="F77" t="s">
        <v>791</v>
      </c>
      <c r="G77" t="s">
        <v>33</v>
      </c>
      <c r="H77" t="s">
        <v>40</v>
      </c>
      <c r="I77" t="s">
        <v>799</v>
      </c>
      <c r="J77" t="s">
        <v>800</v>
      </c>
    </row>
    <row r="78" spans="1:10" x14ac:dyDescent="0.2">
      <c r="A78">
        <v>49</v>
      </c>
      <c r="B78" t="s">
        <v>94</v>
      </c>
      <c r="C78" t="s">
        <v>801</v>
      </c>
      <c r="D78">
        <v>-0.02</v>
      </c>
      <c r="E78">
        <v>5</v>
      </c>
      <c r="F78" t="s">
        <v>705</v>
      </c>
      <c r="G78" t="s">
        <v>64</v>
      </c>
      <c r="H78" t="s">
        <v>40</v>
      </c>
      <c r="I78" t="s">
        <v>802</v>
      </c>
      <c r="J78" t="s">
        <v>803</v>
      </c>
    </row>
    <row r="79" spans="1:10" x14ac:dyDescent="0.2">
      <c r="A79">
        <v>50</v>
      </c>
      <c r="B79" t="s">
        <v>37</v>
      </c>
      <c r="C79" t="s">
        <v>804</v>
      </c>
      <c r="D79">
        <v>0.753</v>
      </c>
      <c r="E79">
        <v>4</v>
      </c>
      <c r="F79" t="s">
        <v>805</v>
      </c>
      <c r="G79" t="s">
        <v>33</v>
      </c>
      <c r="H79" t="s">
        <v>40</v>
      </c>
      <c r="I79" t="s">
        <v>602</v>
      </c>
      <c r="J79" t="s">
        <v>806</v>
      </c>
    </row>
    <row r="80" spans="1:10" x14ac:dyDescent="0.2">
      <c r="A80">
        <v>51</v>
      </c>
      <c r="B80" t="s">
        <v>37</v>
      </c>
      <c r="C80" t="s">
        <v>807</v>
      </c>
      <c r="D80">
        <v>1.0940000000000001</v>
      </c>
      <c r="E80">
        <v>3</v>
      </c>
      <c r="F80" t="s">
        <v>749</v>
      </c>
      <c r="G80" t="s">
        <v>33</v>
      </c>
      <c r="H80" t="s">
        <v>40</v>
      </c>
      <c r="I80" t="s">
        <v>808</v>
      </c>
      <c r="J80" t="s">
        <v>809</v>
      </c>
    </row>
    <row r="81" spans="1:10" x14ac:dyDescent="0.2">
      <c r="A81">
        <v>52</v>
      </c>
      <c r="B81" t="s">
        <v>37</v>
      </c>
      <c r="C81" t="s">
        <v>810</v>
      </c>
      <c r="D81">
        <v>1.151</v>
      </c>
      <c r="E81">
        <v>3</v>
      </c>
      <c r="F81" t="s">
        <v>764</v>
      </c>
      <c r="G81" t="s">
        <v>33</v>
      </c>
      <c r="H81" t="s">
        <v>40</v>
      </c>
      <c r="I81" t="s">
        <v>532</v>
      </c>
      <c r="J81" t="s">
        <v>811</v>
      </c>
    </row>
    <row r="82" spans="1:10" x14ac:dyDescent="0.2">
      <c r="A82">
        <v>53</v>
      </c>
      <c r="B82" t="s">
        <v>97</v>
      </c>
      <c r="C82" t="s">
        <v>812</v>
      </c>
      <c r="D82">
        <v>1.647</v>
      </c>
      <c r="E82">
        <v>3</v>
      </c>
      <c r="F82" t="s">
        <v>687</v>
      </c>
      <c r="G82" t="s">
        <v>33</v>
      </c>
      <c r="H82" t="s">
        <v>40</v>
      </c>
      <c r="I82" t="s">
        <v>786</v>
      </c>
      <c r="J82" t="s">
        <v>813</v>
      </c>
    </row>
    <row r="83" spans="1:10" x14ac:dyDescent="0.2">
      <c r="A83">
        <v>54</v>
      </c>
      <c r="B83" t="s">
        <v>97</v>
      </c>
      <c r="C83" t="s">
        <v>814</v>
      </c>
      <c r="D83">
        <v>0.36699999999999999</v>
      </c>
      <c r="E83">
        <v>4</v>
      </c>
      <c r="F83" t="s">
        <v>744</v>
      </c>
      <c r="G83" t="s">
        <v>33</v>
      </c>
      <c r="H83" t="s">
        <v>40</v>
      </c>
      <c r="I83" t="s">
        <v>802</v>
      </c>
      <c r="J83" t="s">
        <v>815</v>
      </c>
    </row>
    <row r="84" spans="1:10" x14ac:dyDescent="0.2">
      <c r="A84">
        <v>55</v>
      </c>
      <c r="B84" t="s">
        <v>97</v>
      </c>
      <c r="C84" t="s">
        <v>816</v>
      </c>
      <c r="D84">
        <v>0.55800000000000005</v>
      </c>
      <c r="E84">
        <v>4</v>
      </c>
      <c r="F84" t="s">
        <v>678</v>
      </c>
      <c r="G84" t="s">
        <v>33</v>
      </c>
      <c r="H84" t="s">
        <v>40</v>
      </c>
      <c r="I84" t="s">
        <v>532</v>
      </c>
      <c r="J84" t="s">
        <v>817</v>
      </c>
    </row>
    <row r="85" spans="1:10" x14ac:dyDescent="0.2">
      <c r="A85">
        <v>56</v>
      </c>
      <c r="B85" t="s">
        <v>97</v>
      </c>
      <c r="C85" t="s">
        <v>818</v>
      </c>
      <c r="D85">
        <v>2.21</v>
      </c>
      <c r="E85">
        <v>2</v>
      </c>
      <c r="F85" t="s">
        <v>684</v>
      </c>
      <c r="G85" t="s">
        <v>33</v>
      </c>
      <c r="H85" t="s">
        <v>40</v>
      </c>
      <c r="I85" t="s">
        <v>55</v>
      </c>
      <c r="J85" t="s">
        <v>819</v>
      </c>
    </row>
    <row r="86" spans="1:10" x14ac:dyDescent="0.2">
      <c r="A86">
        <v>57</v>
      </c>
      <c r="B86" t="s">
        <v>97</v>
      </c>
      <c r="C86" t="s">
        <v>820</v>
      </c>
      <c r="D86">
        <v>1.101</v>
      </c>
      <c r="E86">
        <v>3</v>
      </c>
      <c r="F86" t="s">
        <v>749</v>
      </c>
      <c r="G86" t="s">
        <v>33</v>
      </c>
      <c r="H86" t="s">
        <v>40</v>
      </c>
      <c r="I86" t="s">
        <v>532</v>
      </c>
      <c r="J86" t="s">
        <v>821</v>
      </c>
    </row>
    <row r="87" spans="1:10" x14ac:dyDescent="0.2">
      <c r="A87">
        <v>58</v>
      </c>
      <c r="B87" t="s">
        <v>94</v>
      </c>
      <c r="C87" t="s">
        <v>230</v>
      </c>
      <c r="D87">
        <v>1.4550000000000001</v>
      </c>
      <c r="E87">
        <v>3</v>
      </c>
      <c r="F87" t="s">
        <v>687</v>
      </c>
      <c r="G87" t="s">
        <v>33</v>
      </c>
      <c r="H87" t="s">
        <v>40</v>
      </c>
      <c r="I87" t="s">
        <v>735</v>
      </c>
      <c r="J87" t="s">
        <v>822</v>
      </c>
    </row>
    <row r="88" spans="1:10" x14ac:dyDescent="0.2">
      <c r="A88">
        <v>59</v>
      </c>
      <c r="B88" t="s">
        <v>101</v>
      </c>
      <c r="C88" t="s">
        <v>823</v>
      </c>
      <c r="D88">
        <v>2.1120000000000001</v>
      </c>
      <c r="E88">
        <v>2</v>
      </c>
      <c r="F88" t="s">
        <v>824</v>
      </c>
      <c r="G88" t="s">
        <v>33</v>
      </c>
      <c r="H88" t="s">
        <v>40</v>
      </c>
      <c r="I88" t="s">
        <v>825</v>
      </c>
      <c r="J88" t="s">
        <v>826</v>
      </c>
    </row>
    <row r="89" spans="1:10" x14ac:dyDescent="0.2">
      <c r="A89">
        <v>60</v>
      </c>
      <c r="B89" t="s">
        <v>52</v>
      </c>
      <c r="C89" t="s">
        <v>827</v>
      </c>
      <c r="D89">
        <v>3.1840000000000002</v>
      </c>
      <c r="E89">
        <v>1</v>
      </c>
      <c r="F89" t="s">
        <v>828</v>
      </c>
      <c r="G89" t="s">
        <v>33</v>
      </c>
      <c r="H89" t="s">
        <v>40</v>
      </c>
      <c r="I89" t="s">
        <v>55</v>
      </c>
      <c r="J89" t="s">
        <v>829</v>
      </c>
    </row>
    <row r="90" spans="1:10" x14ac:dyDescent="0.2">
      <c r="A90">
        <v>61</v>
      </c>
      <c r="B90" t="s">
        <v>101</v>
      </c>
      <c r="C90" t="s">
        <v>830</v>
      </c>
      <c r="D90">
        <v>2.8919999999999999</v>
      </c>
      <c r="E90">
        <v>1</v>
      </c>
      <c r="F90" t="s">
        <v>828</v>
      </c>
      <c r="G90" t="s">
        <v>33</v>
      </c>
      <c r="H90" t="s">
        <v>40</v>
      </c>
      <c r="I90" t="s">
        <v>106</v>
      </c>
      <c r="J90" t="s">
        <v>831</v>
      </c>
    </row>
    <row r="91" spans="1:10" x14ac:dyDescent="0.2">
      <c r="A91">
        <v>62</v>
      </c>
      <c r="B91" t="s">
        <v>156</v>
      </c>
      <c r="C91" t="s">
        <v>832</v>
      </c>
      <c r="D91">
        <v>2.2210000000000001</v>
      </c>
      <c r="E91">
        <v>2</v>
      </c>
      <c r="F91" t="s">
        <v>684</v>
      </c>
      <c r="G91" t="s">
        <v>33</v>
      </c>
      <c r="H91" t="s">
        <v>40</v>
      </c>
      <c r="I91" t="s">
        <v>833</v>
      </c>
      <c r="J91" t="s">
        <v>834</v>
      </c>
    </row>
    <row r="92" spans="1:10" x14ac:dyDescent="0.2">
      <c r="A92">
        <v>63</v>
      </c>
      <c r="B92" t="s">
        <v>97</v>
      </c>
      <c r="C92" t="s">
        <v>835</v>
      </c>
      <c r="D92">
        <v>1.0389999999999999</v>
      </c>
      <c r="E92">
        <v>4</v>
      </c>
      <c r="F92" t="s">
        <v>749</v>
      </c>
      <c r="G92" t="s">
        <v>33</v>
      </c>
      <c r="H92" t="s">
        <v>40</v>
      </c>
      <c r="I92" t="s">
        <v>121</v>
      </c>
      <c r="J92" t="s">
        <v>836</v>
      </c>
    </row>
    <row r="93" spans="1:10" x14ac:dyDescent="0.2">
      <c r="A93">
        <v>64</v>
      </c>
      <c r="B93" t="s">
        <v>43</v>
      </c>
      <c r="C93" t="s">
        <v>837</v>
      </c>
      <c r="D93">
        <v>1.208</v>
      </c>
      <c r="E93">
        <v>3</v>
      </c>
      <c r="F93" t="s">
        <v>764</v>
      </c>
      <c r="G93" t="s">
        <v>33</v>
      </c>
      <c r="H93" t="s">
        <v>40</v>
      </c>
      <c r="I93" t="s">
        <v>154</v>
      </c>
      <c r="J93" t="s">
        <v>838</v>
      </c>
    </row>
    <row r="94" spans="1:10" x14ac:dyDescent="0.2">
      <c r="A94">
        <v>65</v>
      </c>
      <c r="B94" t="s">
        <v>57</v>
      </c>
      <c r="C94" t="s">
        <v>839</v>
      </c>
      <c r="D94">
        <v>2.6320000000000001</v>
      </c>
      <c r="E94">
        <v>1</v>
      </c>
      <c r="F94" t="s">
        <v>684</v>
      </c>
      <c r="G94" t="s">
        <v>33</v>
      </c>
      <c r="H94" t="s">
        <v>40</v>
      </c>
      <c r="I94" t="s">
        <v>154</v>
      </c>
      <c r="J94" t="s">
        <v>840</v>
      </c>
    </row>
    <row r="95" spans="1:10" x14ac:dyDescent="0.2">
      <c r="A95">
        <v>66</v>
      </c>
      <c r="B95" t="s">
        <v>57</v>
      </c>
      <c r="C95" t="s">
        <v>841</v>
      </c>
      <c r="D95">
        <v>1.7749999999999999</v>
      </c>
      <c r="E95">
        <v>2</v>
      </c>
      <c r="F95" t="s">
        <v>842</v>
      </c>
      <c r="G95" t="s">
        <v>33</v>
      </c>
      <c r="H95" t="s">
        <v>40</v>
      </c>
      <c r="I95" t="s">
        <v>843</v>
      </c>
      <c r="J95" t="s">
        <v>844</v>
      </c>
    </row>
    <row r="96" spans="1:10" x14ac:dyDescent="0.2">
      <c r="A96">
        <v>67</v>
      </c>
      <c r="B96" t="s">
        <v>123</v>
      </c>
      <c r="C96" t="s">
        <v>845</v>
      </c>
      <c r="D96">
        <v>1.1739999999999999</v>
      </c>
      <c r="E96">
        <v>3</v>
      </c>
      <c r="F96" t="s">
        <v>764</v>
      </c>
      <c r="G96" t="s">
        <v>33</v>
      </c>
      <c r="H96" t="s">
        <v>40</v>
      </c>
      <c r="I96" t="s">
        <v>598</v>
      </c>
      <c r="J96" t="s">
        <v>846</v>
      </c>
    </row>
    <row r="97" spans="1:10" x14ac:dyDescent="0.2">
      <c r="A97">
        <v>68</v>
      </c>
      <c r="B97" t="s">
        <v>43</v>
      </c>
      <c r="C97" t="s">
        <v>847</v>
      </c>
      <c r="D97">
        <v>2.4580000000000002</v>
      </c>
      <c r="E97">
        <v>2</v>
      </c>
      <c r="F97" t="s">
        <v>684</v>
      </c>
      <c r="G97" t="s">
        <v>33</v>
      </c>
      <c r="H97" t="s">
        <v>40</v>
      </c>
      <c r="I97" t="s">
        <v>735</v>
      </c>
      <c r="J97" t="s">
        <v>848</v>
      </c>
    </row>
    <row r="98" spans="1:10" x14ac:dyDescent="0.2">
      <c r="A98">
        <v>69</v>
      </c>
      <c r="B98" t="s">
        <v>37</v>
      </c>
      <c r="C98" t="s">
        <v>849</v>
      </c>
      <c r="D98">
        <v>2.2130000000000001</v>
      </c>
      <c r="E98">
        <v>2</v>
      </c>
      <c r="F98" t="s">
        <v>684</v>
      </c>
      <c r="G98" t="s">
        <v>33</v>
      </c>
      <c r="H98" t="s">
        <v>40</v>
      </c>
      <c r="I98" t="s">
        <v>215</v>
      </c>
      <c r="J98" t="s">
        <v>850</v>
      </c>
    </row>
    <row r="99" spans="1:10" x14ac:dyDescent="0.2">
      <c r="A99">
        <v>70</v>
      </c>
      <c r="B99" t="s">
        <v>43</v>
      </c>
      <c r="C99" t="s">
        <v>851</v>
      </c>
      <c r="D99">
        <v>3.1549999999999998</v>
      </c>
      <c r="E99">
        <v>1</v>
      </c>
      <c r="F99" t="s">
        <v>828</v>
      </c>
      <c r="G99" t="s">
        <v>33</v>
      </c>
      <c r="H99" t="s">
        <v>40</v>
      </c>
      <c r="I99" t="s">
        <v>481</v>
      </c>
      <c r="J99" t="s">
        <v>852</v>
      </c>
    </row>
    <row r="100" spans="1:10" x14ac:dyDescent="0.2">
      <c r="A100">
        <v>71</v>
      </c>
      <c r="B100" t="s">
        <v>108</v>
      </c>
      <c r="C100" t="s">
        <v>853</v>
      </c>
      <c r="D100">
        <v>3.1880000000000002</v>
      </c>
      <c r="E100">
        <v>1</v>
      </c>
      <c r="F100" t="s">
        <v>828</v>
      </c>
      <c r="G100" t="s">
        <v>33</v>
      </c>
      <c r="H100" t="s">
        <v>40</v>
      </c>
      <c r="I100" t="s">
        <v>220</v>
      </c>
      <c r="J100" t="s">
        <v>854</v>
      </c>
    </row>
    <row r="101" spans="1:10" x14ac:dyDescent="0.2">
      <c r="A101">
        <v>72</v>
      </c>
      <c r="B101" t="s">
        <v>127</v>
      </c>
      <c r="C101" t="s">
        <v>855</v>
      </c>
      <c r="D101">
        <v>1.7709999999999999</v>
      </c>
      <c r="E101">
        <v>3</v>
      </c>
      <c r="F101" t="s">
        <v>842</v>
      </c>
      <c r="G101" t="s">
        <v>33</v>
      </c>
      <c r="H101" t="s">
        <v>40</v>
      </c>
      <c r="I101" t="s">
        <v>856</v>
      </c>
      <c r="J101" t="s">
        <v>857</v>
      </c>
    </row>
    <row r="102" spans="1:10" x14ac:dyDescent="0.2">
      <c r="A102">
        <v>73</v>
      </c>
      <c r="B102" t="s">
        <v>97</v>
      </c>
      <c r="C102" t="s">
        <v>858</v>
      </c>
      <c r="D102">
        <v>3.0470000000000002</v>
      </c>
      <c r="E102">
        <v>1</v>
      </c>
      <c r="F102" t="s">
        <v>828</v>
      </c>
      <c r="G102" t="s">
        <v>33</v>
      </c>
      <c r="H102" t="s">
        <v>40</v>
      </c>
      <c r="I102" t="s">
        <v>481</v>
      </c>
      <c r="J102" t="s">
        <v>859</v>
      </c>
    </row>
    <row r="103" spans="1:10" x14ac:dyDescent="0.2">
      <c r="A103">
        <v>74</v>
      </c>
      <c r="B103" t="s">
        <v>37</v>
      </c>
      <c r="C103" t="s">
        <v>860</v>
      </c>
      <c r="D103">
        <v>0.94399999999999995</v>
      </c>
      <c r="E103">
        <v>4</v>
      </c>
      <c r="F103" t="s">
        <v>749</v>
      </c>
      <c r="G103" t="s">
        <v>33</v>
      </c>
      <c r="H103" t="s">
        <v>40</v>
      </c>
      <c r="I103" t="s">
        <v>861</v>
      </c>
      <c r="J103" t="s">
        <v>862</v>
      </c>
    </row>
    <row r="104" spans="1:10" x14ac:dyDescent="0.2">
      <c r="A104">
        <v>75</v>
      </c>
      <c r="B104" t="s">
        <v>37</v>
      </c>
      <c r="C104" t="s">
        <v>863</v>
      </c>
      <c r="D104">
        <v>1.1779999999999999</v>
      </c>
      <c r="E104">
        <v>3</v>
      </c>
      <c r="F104" t="s">
        <v>764</v>
      </c>
      <c r="G104" t="s">
        <v>33</v>
      </c>
      <c r="H104" t="s">
        <v>40</v>
      </c>
      <c r="I104" t="s">
        <v>469</v>
      </c>
      <c r="J104" t="s">
        <v>864</v>
      </c>
    </row>
    <row r="105" spans="1:10" x14ac:dyDescent="0.2">
      <c r="A105">
        <v>76</v>
      </c>
      <c r="B105" t="s">
        <v>37</v>
      </c>
      <c r="C105" t="s">
        <v>865</v>
      </c>
      <c r="D105">
        <v>0.32400000000000001</v>
      </c>
      <c r="E105">
        <v>5</v>
      </c>
      <c r="F105" t="s">
        <v>744</v>
      </c>
      <c r="G105" t="s">
        <v>33</v>
      </c>
      <c r="H105" t="s">
        <v>40</v>
      </c>
      <c r="I105" t="s">
        <v>469</v>
      </c>
      <c r="J105" t="s">
        <v>866</v>
      </c>
    </row>
    <row r="106" spans="1:10" x14ac:dyDescent="0.2">
      <c r="A106">
        <v>77</v>
      </c>
      <c r="B106" t="s">
        <v>43</v>
      </c>
      <c r="C106" t="s">
        <v>867</v>
      </c>
      <c r="D106">
        <v>0.64</v>
      </c>
      <c r="E106">
        <v>4</v>
      </c>
      <c r="F106" t="s">
        <v>868</v>
      </c>
      <c r="G106" t="s">
        <v>33</v>
      </c>
      <c r="H106" t="s">
        <v>40</v>
      </c>
      <c r="I106" t="s">
        <v>869</v>
      </c>
      <c r="J106" t="s">
        <v>870</v>
      </c>
    </row>
    <row r="107" spans="1:10" x14ac:dyDescent="0.2">
      <c r="A107">
        <v>78</v>
      </c>
      <c r="B107" t="s">
        <v>43</v>
      </c>
      <c r="C107" t="s">
        <v>871</v>
      </c>
      <c r="D107">
        <v>-8.5000000000000006E-2</v>
      </c>
      <c r="E107">
        <v>5</v>
      </c>
      <c r="F107" t="s">
        <v>791</v>
      </c>
      <c r="G107" t="s">
        <v>33</v>
      </c>
      <c r="H107" t="s">
        <v>40</v>
      </c>
      <c r="I107" t="s">
        <v>215</v>
      </c>
      <c r="J107" t="s">
        <v>872</v>
      </c>
    </row>
    <row r="108" spans="1:10" x14ac:dyDescent="0.2">
      <c r="A108">
        <v>79</v>
      </c>
      <c r="B108" t="s">
        <v>52</v>
      </c>
      <c r="C108" t="s">
        <v>873</v>
      </c>
      <c r="D108">
        <v>-0.104</v>
      </c>
      <c r="E108">
        <v>6</v>
      </c>
      <c r="F108" t="s">
        <v>791</v>
      </c>
      <c r="G108" t="s">
        <v>33</v>
      </c>
      <c r="H108" t="s">
        <v>40</v>
      </c>
      <c r="I108" t="s">
        <v>165</v>
      </c>
      <c r="J108" t="s">
        <v>874</v>
      </c>
    </row>
    <row r="109" spans="1:10" x14ac:dyDescent="0.2">
      <c r="A109">
        <v>80</v>
      </c>
      <c r="B109" t="s">
        <v>156</v>
      </c>
      <c r="C109" t="s">
        <v>875</v>
      </c>
      <c r="D109">
        <v>-0.42599999999999999</v>
      </c>
      <c r="E109">
        <v>7</v>
      </c>
      <c r="F109" t="s">
        <v>876</v>
      </c>
      <c r="G109" t="s">
        <v>33</v>
      </c>
      <c r="H109" t="s">
        <v>40</v>
      </c>
      <c r="I109" t="s">
        <v>207</v>
      </c>
      <c r="J109" t="s">
        <v>877</v>
      </c>
    </row>
    <row r="110" spans="1:10" x14ac:dyDescent="0.2">
      <c r="A110">
        <v>81</v>
      </c>
      <c r="B110" t="s">
        <v>156</v>
      </c>
      <c r="C110" t="s">
        <v>878</v>
      </c>
      <c r="D110">
        <v>-0.92700000000000005</v>
      </c>
      <c r="E110">
        <v>9</v>
      </c>
      <c r="F110" t="s">
        <v>879</v>
      </c>
      <c r="G110" t="s">
        <v>33</v>
      </c>
      <c r="H110" t="s">
        <v>34</v>
      </c>
      <c r="I110" t="s">
        <v>207</v>
      </c>
      <c r="J110" t="s">
        <v>880</v>
      </c>
    </row>
    <row r="111" spans="1:10" x14ac:dyDescent="0.2">
      <c r="A111">
        <v>82</v>
      </c>
      <c r="B111" t="s">
        <v>97</v>
      </c>
      <c r="C111" t="s">
        <v>881</v>
      </c>
      <c r="D111">
        <v>-0.51500000000000001</v>
      </c>
      <c r="E111">
        <v>7</v>
      </c>
      <c r="F111" t="s">
        <v>882</v>
      </c>
      <c r="G111" t="s">
        <v>33</v>
      </c>
      <c r="H111" t="s">
        <v>40</v>
      </c>
      <c r="I111" t="s">
        <v>207</v>
      </c>
      <c r="J111" t="s">
        <v>883</v>
      </c>
    </row>
    <row r="112" spans="1:10" x14ac:dyDescent="0.2">
      <c r="A112">
        <v>83</v>
      </c>
      <c r="B112" t="s">
        <v>52</v>
      </c>
      <c r="C112" t="s">
        <v>884</v>
      </c>
      <c r="D112">
        <v>-0.29499999999999998</v>
      </c>
      <c r="E112">
        <v>6</v>
      </c>
      <c r="F112" t="s">
        <v>885</v>
      </c>
      <c r="G112" t="s">
        <v>64</v>
      </c>
      <c r="H112" t="s">
        <v>40</v>
      </c>
      <c r="I112" t="s">
        <v>207</v>
      </c>
      <c r="J112" t="s">
        <v>886</v>
      </c>
    </row>
    <row r="113" spans="1:10" x14ac:dyDescent="0.2">
      <c r="A113">
        <v>84</v>
      </c>
      <c r="B113" t="s">
        <v>108</v>
      </c>
      <c r="C113" t="s">
        <v>887</v>
      </c>
      <c r="D113">
        <v>-0.92500000000000004</v>
      </c>
      <c r="E113">
        <v>9</v>
      </c>
      <c r="F113" t="s">
        <v>888</v>
      </c>
      <c r="G113" t="s">
        <v>33</v>
      </c>
      <c r="H113" t="s">
        <v>34</v>
      </c>
      <c r="I113" t="s">
        <v>207</v>
      </c>
      <c r="J113" t="s">
        <v>889</v>
      </c>
    </row>
    <row r="114" spans="1:10" x14ac:dyDescent="0.2">
      <c r="A114">
        <v>85</v>
      </c>
      <c r="B114" t="s">
        <v>37</v>
      </c>
      <c r="C114" t="s">
        <v>890</v>
      </c>
      <c r="D114">
        <v>-0.85299999999999998</v>
      </c>
      <c r="E114">
        <v>9</v>
      </c>
      <c r="F114" t="s">
        <v>891</v>
      </c>
      <c r="G114" t="s">
        <v>33</v>
      </c>
      <c r="H114" t="s">
        <v>34</v>
      </c>
      <c r="I114" t="s">
        <v>207</v>
      </c>
      <c r="J114" t="s">
        <v>892</v>
      </c>
    </row>
    <row r="115" spans="1:10" x14ac:dyDescent="0.2">
      <c r="A115">
        <v>86</v>
      </c>
      <c r="B115" t="s">
        <v>43</v>
      </c>
      <c r="C115" t="s">
        <v>893</v>
      </c>
      <c r="D115">
        <v>-0.89800000000000002</v>
      </c>
      <c r="E115">
        <v>9</v>
      </c>
      <c r="F115" t="s">
        <v>675</v>
      </c>
      <c r="G115" t="s">
        <v>33</v>
      </c>
      <c r="H115" t="s">
        <v>34</v>
      </c>
      <c r="I115" t="s">
        <v>207</v>
      </c>
      <c r="J115" t="s">
        <v>894</v>
      </c>
    </row>
    <row r="116" spans="1:10" x14ac:dyDescent="0.2">
      <c r="A116">
        <v>87</v>
      </c>
      <c r="B116" t="s">
        <v>135</v>
      </c>
      <c r="C116" t="s">
        <v>895</v>
      </c>
      <c r="D116">
        <v>-0.65900000000000003</v>
      </c>
      <c r="E116">
        <v>8</v>
      </c>
      <c r="F116" t="s">
        <v>896</v>
      </c>
      <c r="G116" t="s">
        <v>33</v>
      </c>
      <c r="H116" t="s">
        <v>34</v>
      </c>
      <c r="I116" t="s">
        <v>207</v>
      </c>
      <c r="J116" t="s">
        <v>897</v>
      </c>
    </row>
    <row r="117" spans="1:10" x14ac:dyDescent="0.2">
      <c r="A117">
        <v>88</v>
      </c>
      <c r="B117" t="s">
        <v>97</v>
      </c>
      <c r="C117" t="s">
        <v>898</v>
      </c>
      <c r="D117">
        <v>-0.91800000000000004</v>
      </c>
      <c r="E117">
        <v>9</v>
      </c>
      <c r="F117" t="s">
        <v>888</v>
      </c>
      <c r="G117" t="s">
        <v>33</v>
      </c>
      <c r="H117" t="s">
        <v>34</v>
      </c>
      <c r="I117" t="s">
        <v>207</v>
      </c>
      <c r="J117" t="s">
        <v>899</v>
      </c>
    </row>
    <row r="118" spans="1:10" x14ac:dyDescent="0.2">
      <c r="A118">
        <v>89</v>
      </c>
      <c r="B118" t="s">
        <v>37</v>
      </c>
      <c r="C118" t="s">
        <v>900</v>
      </c>
      <c r="D118">
        <v>-0.34100000000000003</v>
      </c>
      <c r="E118">
        <v>7</v>
      </c>
      <c r="F118" t="s">
        <v>901</v>
      </c>
      <c r="G118" t="s">
        <v>33</v>
      </c>
      <c r="H118" t="s">
        <v>40</v>
      </c>
      <c r="I118" t="s">
        <v>207</v>
      </c>
      <c r="J118" t="s">
        <v>902</v>
      </c>
    </row>
    <row r="119" spans="1:10" x14ac:dyDescent="0.2">
      <c r="A119">
        <v>90</v>
      </c>
      <c r="B119" t="s">
        <v>97</v>
      </c>
      <c r="C119" t="s">
        <v>903</v>
      </c>
      <c r="D119">
        <v>8.5000000000000006E-2</v>
      </c>
      <c r="E119">
        <v>5</v>
      </c>
      <c r="F119" t="s">
        <v>696</v>
      </c>
      <c r="G119" t="s">
        <v>33</v>
      </c>
      <c r="H119" t="s">
        <v>40</v>
      </c>
      <c r="I119" t="s">
        <v>207</v>
      </c>
      <c r="J119" t="s">
        <v>904</v>
      </c>
    </row>
    <row r="120" spans="1:10" x14ac:dyDescent="0.2">
      <c r="A120">
        <v>91</v>
      </c>
      <c r="B120" t="s">
        <v>97</v>
      </c>
      <c r="C120" t="s">
        <v>905</v>
      </c>
      <c r="D120">
        <v>-0.63300000000000001</v>
      </c>
      <c r="E120">
        <v>8</v>
      </c>
      <c r="F120" t="s">
        <v>906</v>
      </c>
      <c r="G120" t="s">
        <v>33</v>
      </c>
      <c r="H120" t="s">
        <v>34</v>
      </c>
      <c r="I120" t="s">
        <v>207</v>
      </c>
      <c r="J120" t="s">
        <v>907</v>
      </c>
    </row>
    <row r="121" spans="1:10" x14ac:dyDescent="0.2">
      <c r="A121">
        <v>92</v>
      </c>
      <c r="B121" t="s">
        <v>37</v>
      </c>
      <c r="C121" t="s">
        <v>908</v>
      </c>
      <c r="D121">
        <v>-0.60699999999999998</v>
      </c>
      <c r="E121">
        <v>8</v>
      </c>
      <c r="F121" t="s">
        <v>909</v>
      </c>
      <c r="G121" t="s">
        <v>33</v>
      </c>
      <c r="H121" t="s">
        <v>34</v>
      </c>
      <c r="I121" t="s">
        <v>207</v>
      </c>
      <c r="J121" t="s">
        <v>910</v>
      </c>
    </row>
    <row r="122" spans="1:10" x14ac:dyDescent="0.2">
      <c r="A122">
        <v>93</v>
      </c>
      <c r="B122" t="s">
        <v>142</v>
      </c>
      <c r="C122" t="s">
        <v>911</v>
      </c>
      <c r="D122">
        <v>-0.41799999999999998</v>
      </c>
      <c r="E122">
        <v>7</v>
      </c>
      <c r="F122" t="s">
        <v>912</v>
      </c>
      <c r="G122" t="s">
        <v>64</v>
      </c>
      <c r="H122" t="s">
        <v>40</v>
      </c>
      <c r="I122" t="s">
        <v>207</v>
      </c>
      <c r="J122" t="s">
        <v>913</v>
      </c>
    </row>
    <row r="123" spans="1:10" x14ac:dyDescent="0.2">
      <c r="A123">
        <v>94</v>
      </c>
      <c r="B123" t="s">
        <v>57</v>
      </c>
      <c r="C123" t="s">
        <v>914</v>
      </c>
      <c r="D123">
        <v>-0.89500000000000002</v>
      </c>
      <c r="E123">
        <v>9</v>
      </c>
      <c r="F123" t="s">
        <v>675</v>
      </c>
      <c r="G123" t="s">
        <v>33</v>
      </c>
      <c r="H123" t="s">
        <v>34</v>
      </c>
      <c r="I123" t="s">
        <v>207</v>
      </c>
      <c r="J123" t="s">
        <v>915</v>
      </c>
    </row>
    <row r="124" spans="1:10" x14ac:dyDescent="0.2">
      <c r="A124">
        <v>95</v>
      </c>
      <c r="B124" t="s">
        <v>37</v>
      </c>
      <c r="C124" t="s">
        <v>916</v>
      </c>
      <c r="D124">
        <v>-0.91400000000000003</v>
      </c>
      <c r="E124">
        <v>9</v>
      </c>
      <c r="F124" t="s">
        <v>717</v>
      </c>
      <c r="G124" t="s">
        <v>33</v>
      </c>
      <c r="H124" t="s">
        <v>34</v>
      </c>
      <c r="I124" t="s">
        <v>207</v>
      </c>
      <c r="J124" t="s">
        <v>917</v>
      </c>
    </row>
    <row r="125" spans="1:10" x14ac:dyDescent="0.2">
      <c r="A125">
        <v>96</v>
      </c>
      <c r="B125" t="s">
        <v>43</v>
      </c>
      <c r="C125" t="s">
        <v>918</v>
      </c>
      <c r="D125">
        <v>-0.89800000000000002</v>
      </c>
      <c r="E125">
        <v>9</v>
      </c>
      <c r="F125" t="s">
        <v>675</v>
      </c>
      <c r="G125" t="s">
        <v>33</v>
      </c>
      <c r="H125" t="s">
        <v>34</v>
      </c>
      <c r="I125" t="s">
        <v>207</v>
      </c>
      <c r="J125" t="s">
        <v>894</v>
      </c>
    </row>
    <row r="126" spans="1:10" x14ac:dyDescent="0.2">
      <c r="A126">
        <v>97</v>
      </c>
      <c r="B126" t="s">
        <v>37</v>
      </c>
      <c r="C126" t="s">
        <v>919</v>
      </c>
      <c r="D126">
        <v>-0.91400000000000003</v>
      </c>
      <c r="E126">
        <v>9</v>
      </c>
      <c r="F126" t="s">
        <v>717</v>
      </c>
      <c r="G126" t="s">
        <v>33</v>
      </c>
      <c r="H126" t="s">
        <v>34</v>
      </c>
      <c r="I126" t="s">
        <v>207</v>
      </c>
      <c r="J126" t="s">
        <v>917</v>
      </c>
    </row>
    <row r="127" spans="1:10" x14ac:dyDescent="0.2">
      <c r="A127">
        <v>98</v>
      </c>
      <c r="B127" t="s">
        <v>57</v>
      </c>
      <c r="C127" t="s">
        <v>920</v>
      </c>
      <c r="D127">
        <v>-0.89500000000000002</v>
      </c>
      <c r="E127">
        <v>9</v>
      </c>
      <c r="F127" t="s">
        <v>675</v>
      </c>
      <c r="G127" t="s">
        <v>33</v>
      </c>
      <c r="H127" t="s">
        <v>34</v>
      </c>
      <c r="I127" t="s">
        <v>207</v>
      </c>
      <c r="J127" t="s">
        <v>915</v>
      </c>
    </row>
    <row r="128" spans="1:10" x14ac:dyDescent="0.2">
      <c r="A128">
        <v>99</v>
      </c>
      <c r="B128" t="s">
        <v>127</v>
      </c>
      <c r="C128" t="s">
        <v>921</v>
      </c>
      <c r="D128">
        <v>-0.91800000000000004</v>
      </c>
      <c r="E128">
        <v>9</v>
      </c>
      <c r="F128" t="s">
        <v>888</v>
      </c>
      <c r="G128" t="s">
        <v>33</v>
      </c>
      <c r="H128" t="s">
        <v>34</v>
      </c>
      <c r="I128" t="s">
        <v>207</v>
      </c>
      <c r="J128" t="s">
        <v>649</v>
      </c>
    </row>
    <row r="129" spans="1:10" x14ac:dyDescent="0.2">
      <c r="A129">
        <v>100</v>
      </c>
      <c r="B129" t="s">
        <v>43</v>
      </c>
      <c r="C129" t="s">
        <v>922</v>
      </c>
      <c r="D129">
        <v>-0.89800000000000002</v>
      </c>
      <c r="E129">
        <v>9</v>
      </c>
      <c r="F129" t="s">
        <v>675</v>
      </c>
      <c r="G129" t="s">
        <v>33</v>
      </c>
      <c r="H129" t="s">
        <v>34</v>
      </c>
      <c r="I129" t="s">
        <v>207</v>
      </c>
      <c r="J129" t="s">
        <v>894</v>
      </c>
    </row>
    <row r="130" spans="1:10" x14ac:dyDescent="0.2">
      <c r="A130">
        <v>101</v>
      </c>
      <c r="B130" t="s">
        <v>142</v>
      </c>
      <c r="C130" t="s">
        <v>923</v>
      </c>
      <c r="D130">
        <v>-0.58299999999999996</v>
      </c>
      <c r="E130">
        <v>8</v>
      </c>
      <c r="F130" t="s">
        <v>924</v>
      </c>
      <c r="G130" t="s">
        <v>64</v>
      </c>
      <c r="H130" t="s">
        <v>40</v>
      </c>
      <c r="I130" t="s">
        <v>207</v>
      </c>
      <c r="J130" t="s">
        <v>925</v>
      </c>
    </row>
    <row r="131" spans="1:10" x14ac:dyDescent="0.2">
      <c r="A131">
        <v>102</v>
      </c>
      <c r="B131" t="s">
        <v>101</v>
      </c>
      <c r="C131" t="s">
        <v>926</v>
      </c>
      <c r="D131">
        <v>-0.82599999999999996</v>
      </c>
      <c r="E131">
        <v>9</v>
      </c>
      <c r="F131" t="s">
        <v>927</v>
      </c>
      <c r="G131" t="s">
        <v>33</v>
      </c>
      <c r="H131" t="s">
        <v>34</v>
      </c>
      <c r="I131" t="s">
        <v>207</v>
      </c>
      <c r="J131" t="s">
        <v>928</v>
      </c>
    </row>
    <row r="132" spans="1:10" x14ac:dyDescent="0.2">
      <c r="A132">
        <v>103</v>
      </c>
      <c r="B132" t="s">
        <v>123</v>
      </c>
      <c r="C132" t="s">
        <v>929</v>
      </c>
      <c r="D132">
        <v>0.25600000000000001</v>
      </c>
      <c r="E132">
        <v>5</v>
      </c>
      <c r="F132" t="s">
        <v>783</v>
      </c>
      <c r="G132" t="s">
        <v>33</v>
      </c>
      <c r="H132" t="s">
        <v>40</v>
      </c>
      <c r="I132" t="s">
        <v>469</v>
      </c>
      <c r="J132" t="s">
        <v>930</v>
      </c>
    </row>
    <row r="133" spans="1:10" x14ac:dyDescent="0.2">
      <c r="A133">
        <v>104</v>
      </c>
      <c r="B133" t="s">
        <v>52</v>
      </c>
      <c r="C133" t="s">
        <v>339</v>
      </c>
      <c r="D133">
        <v>1.6259999999999999</v>
      </c>
      <c r="E133">
        <v>3</v>
      </c>
      <c r="F133" t="s">
        <v>687</v>
      </c>
      <c r="G133" t="s">
        <v>33</v>
      </c>
      <c r="H133" t="s">
        <v>40</v>
      </c>
      <c r="I133" t="s">
        <v>861</v>
      </c>
      <c r="J133" t="s">
        <v>931</v>
      </c>
    </row>
    <row r="134" spans="1:10" x14ac:dyDescent="0.2">
      <c r="A134">
        <v>105</v>
      </c>
      <c r="B134" t="s">
        <v>37</v>
      </c>
      <c r="C134" t="s">
        <v>932</v>
      </c>
      <c r="D134">
        <v>1.5940000000000001</v>
      </c>
      <c r="E134">
        <v>3</v>
      </c>
      <c r="F134" t="s">
        <v>687</v>
      </c>
      <c r="G134" t="s">
        <v>33</v>
      </c>
      <c r="H134" t="s">
        <v>40</v>
      </c>
      <c r="I134" t="s">
        <v>933</v>
      </c>
      <c r="J134" t="s">
        <v>934</v>
      </c>
    </row>
    <row r="135" spans="1:10" x14ac:dyDescent="0.2">
      <c r="A135">
        <v>106</v>
      </c>
      <c r="B135" t="s">
        <v>156</v>
      </c>
      <c r="C135" t="s">
        <v>935</v>
      </c>
      <c r="D135">
        <v>0.64200000000000002</v>
      </c>
      <c r="E135">
        <v>4</v>
      </c>
      <c r="F135" t="s">
        <v>682</v>
      </c>
      <c r="G135" t="s">
        <v>33</v>
      </c>
      <c r="H135" t="s">
        <v>40</v>
      </c>
      <c r="I135" t="s">
        <v>936</v>
      </c>
      <c r="J135" t="s">
        <v>937</v>
      </c>
    </row>
    <row r="136" spans="1:10" x14ac:dyDescent="0.2">
      <c r="A136">
        <v>107</v>
      </c>
      <c r="B136" t="s">
        <v>43</v>
      </c>
      <c r="C136" t="s">
        <v>938</v>
      </c>
      <c r="D136">
        <v>3.18</v>
      </c>
      <c r="E136">
        <v>1</v>
      </c>
      <c r="F136" t="s">
        <v>828</v>
      </c>
      <c r="G136" t="s">
        <v>33</v>
      </c>
      <c r="H136" t="s">
        <v>40</v>
      </c>
      <c r="I136" t="s">
        <v>469</v>
      </c>
      <c r="J136" t="s">
        <v>939</v>
      </c>
    </row>
    <row r="137" spans="1:10" x14ac:dyDescent="0.2">
      <c r="A137">
        <v>108</v>
      </c>
      <c r="B137" t="s">
        <v>43</v>
      </c>
      <c r="C137" t="s">
        <v>940</v>
      </c>
      <c r="D137">
        <v>1.157</v>
      </c>
      <c r="E137">
        <v>3</v>
      </c>
      <c r="F137" t="s">
        <v>764</v>
      </c>
      <c r="G137" t="s">
        <v>33</v>
      </c>
      <c r="H137" t="s">
        <v>40</v>
      </c>
      <c r="I137" t="s">
        <v>469</v>
      </c>
      <c r="J137" t="s">
        <v>941</v>
      </c>
    </row>
    <row r="138" spans="1:10" x14ac:dyDescent="0.2">
      <c r="A138">
        <v>109</v>
      </c>
      <c r="B138" t="s">
        <v>74</v>
      </c>
      <c r="C138" t="s">
        <v>942</v>
      </c>
      <c r="D138">
        <v>2.137</v>
      </c>
      <c r="E138">
        <v>2</v>
      </c>
      <c r="F138" t="s">
        <v>684</v>
      </c>
      <c r="G138" t="s">
        <v>33</v>
      </c>
      <c r="H138" t="s">
        <v>40</v>
      </c>
      <c r="I138" t="s">
        <v>933</v>
      </c>
      <c r="J138" t="s">
        <v>943</v>
      </c>
    </row>
    <row r="139" spans="1:10" x14ac:dyDescent="0.2">
      <c r="A139">
        <v>110</v>
      </c>
      <c r="B139" t="s">
        <v>43</v>
      </c>
      <c r="C139" t="s">
        <v>352</v>
      </c>
      <c r="D139">
        <v>1.88</v>
      </c>
      <c r="E139">
        <v>2</v>
      </c>
      <c r="F139" t="s">
        <v>842</v>
      </c>
      <c r="G139" t="s">
        <v>33</v>
      </c>
      <c r="H139" t="s">
        <v>40</v>
      </c>
      <c r="I139" t="s">
        <v>469</v>
      </c>
      <c r="J139" t="s">
        <v>944</v>
      </c>
    </row>
    <row r="140" spans="1:10" x14ac:dyDescent="0.2">
      <c r="A140">
        <v>111</v>
      </c>
      <c r="B140" t="s">
        <v>37</v>
      </c>
      <c r="C140" t="s">
        <v>945</v>
      </c>
      <c r="D140">
        <v>2.222</v>
      </c>
      <c r="E140">
        <v>2</v>
      </c>
      <c r="F140" t="s">
        <v>684</v>
      </c>
      <c r="G140" t="s">
        <v>33</v>
      </c>
      <c r="H140" t="s">
        <v>40</v>
      </c>
      <c r="I140" t="s">
        <v>861</v>
      </c>
      <c r="J140" t="s">
        <v>946</v>
      </c>
    </row>
    <row r="141" spans="1:10" x14ac:dyDescent="0.2">
      <c r="A141">
        <v>112</v>
      </c>
      <c r="B141" t="s">
        <v>123</v>
      </c>
      <c r="C141" t="s">
        <v>947</v>
      </c>
      <c r="D141">
        <v>2.6579999999999999</v>
      </c>
      <c r="E141">
        <v>1</v>
      </c>
      <c r="F141" t="s">
        <v>684</v>
      </c>
      <c r="G141" t="s">
        <v>33</v>
      </c>
      <c r="H141" t="s">
        <v>40</v>
      </c>
      <c r="I141" t="s">
        <v>948</v>
      </c>
      <c r="J141" t="s">
        <v>949</v>
      </c>
    </row>
    <row r="142" spans="1:10" x14ac:dyDescent="0.2">
      <c r="A142">
        <v>113</v>
      </c>
      <c r="B142" t="s">
        <v>30</v>
      </c>
      <c r="C142" t="s">
        <v>950</v>
      </c>
      <c r="D142">
        <v>1.5980000000000001</v>
      </c>
      <c r="E142">
        <v>3</v>
      </c>
      <c r="F142" t="s">
        <v>687</v>
      </c>
      <c r="G142" t="s">
        <v>33</v>
      </c>
      <c r="H142" t="s">
        <v>40</v>
      </c>
      <c r="I142" t="s">
        <v>162</v>
      </c>
      <c r="J142" t="s">
        <v>951</v>
      </c>
    </row>
    <row r="143" spans="1:10" x14ac:dyDescent="0.2">
      <c r="A143">
        <v>114</v>
      </c>
      <c r="B143" t="s">
        <v>52</v>
      </c>
      <c r="C143" t="s">
        <v>952</v>
      </c>
      <c r="D143">
        <v>0.89100000000000001</v>
      </c>
      <c r="E143">
        <v>4</v>
      </c>
      <c r="F143" t="s">
        <v>759</v>
      </c>
      <c r="G143" t="s">
        <v>33</v>
      </c>
      <c r="H143" t="s">
        <v>40</v>
      </c>
      <c r="I143" t="s">
        <v>162</v>
      </c>
      <c r="J143" t="s">
        <v>953</v>
      </c>
    </row>
    <row r="144" spans="1:10" x14ac:dyDescent="0.2">
      <c r="A144">
        <v>115</v>
      </c>
      <c r="B144" t="s">
        <v>97</v>
      </c>
      <c r="C144" t="s">
        <v>954</v>
      </c>
      <c r="D144">
        <v>2.8730000000000002</v>
      </c>
      <c r="E144">
        <v>1</v>
      </c>
      <c r="F144" t="s">
        <v>828</v>
      </c>
      <c r="G144" t="s">
        <v>33</v>
      </c>
      <c r="H144" t="s">
        <v>40</v>
      </c>
      <c r="I144" t="s">
        <v>933</v>
      </c>
      <c r="J144" t="s">
        <v>955</v>
      </c>
    </row>
    <row r="145" spans="1:10" x14ac:dyDescent="0.2">
      <c r="A145">
        <v>116</v>
      </c>
      <c r="B145" t="s">
        <v>43</v>
      </c>
      <c r="C145" t="s">
        <v>956</v>
      </c>
      <c r="D145">
        <v>1.629</v>
      </c>
      <c r="E145">
        <v>3</v>
      </c>
      <c r="F145" t="s">
        <v>687</v>
      </c>
      <c r="G145" t="s">
        <v>33</v>
      </c>
      <c r="H145" t="s">
        <v>40</v>
      </c>
      <c r="I145" t="s">
        <v>162</v>
      </c>
      <c r="J145" t="s">
        <v>957</v>
      </c>
    </row>
    <row r="146" spans="1:10" x14ac:dyDescent="0.2">
      <c r="A146">
        <v>117</v>
      </c>
      <c r="B146" t="s">
        <v>52</v>
      </c>
      <c r="C146" t="s">
        <v>958</v>
      </c>
      <c r="D146">
        <v>2.0369999999999999</v>
      </c>
      <c r="E146">
        <v>2</v>
      </c>
      <c r="F146" t="s">
        <v>684</v>
      </c>
      <c r="G146" t="s">
        <v>33</v>
      </c>
      <c r="H146" t="s">
        <v>40</v>
      </c>
      <c r="I146" t="s">
        <v>706</v>
      </c>
      <c r="J146" t="s">
        <v>959</v>
      </c>
    </row>
    <row r="147" spans="1:10" x14ac:dyDescent="0.2">
      <c r="A147">
        <v>118</v>
      </c>
      <c r="B147" t="s">
        <v>101</v>
      </c>
      <c r="C147" t="s">
        <v>960</v>
      </c>
      <c r="D147">
        <v>1.8740000000000001</v>
      </c>
      <c r="E147">
        <v>2</v>
      </c>
      <c r="F147" t="s">
        <v>687</v>
      </c>
      <c r="G147" t="s">
        <v>33</v>
      </c>
      <c r="H147" t="s">
        <v>40</v>
      </c>
      <c r="I147" t="s">
        <v>961</v>
      </c>
      <c r="J147" t="s">
        <v>962</v>
      </c>
    </row>
    <row r="148" spans="1:10" x14ac:dyDescent="0.2">
      <c r="A148">
        <v>119</v>
      </c>
      <c r="B148" t="s">
        <v>113</v>
      </c>
      <c r="C148" t="s">
        <v>963</v>
      </c>
      <c r="D148">
        <v>3.19</v>
      </c>
      <c r="E148">
        <v>1</v>
      </c>
      <c r="F148" t="s">
        <v>828</v>
      </c>
      <c r="G148" t="s">
        <v>33</v>
      </c>
      <c r="H148" t="s">
        <v>40</v>
      </c>
      <c r="I148" t="s">
        <v>936</v>
      </c>
      <c r="J148" t="s">
        <v>964</v>
      </c>
    </row>
    <row r="149" spans="1:10" x14ac:dyDescent="0.2">
      <c r="A149">
        <v>120</v>
      </c>
      <c r="B149" t="s">
        <v>52</v>
      </c>
      <c r="C149" t="s">
        <v>965</v>
      </c>
      <c r="D149">
        <v>3.1709999999999998</v>
      </c>
      <c r="E149">
        <v>1</v>
      </c>
      <c r="F149" t="s">
        <v>828</v>
      </c>
      <c r="G149" t="s">
        <v>33</v>
      </c>
      <c r="H149" t="s">
        <v>40</v>
      </c>
      <c r="I149" t="s">
        <v>476</v>
      </c>
      <c r="J149" t="s">
        <v>966</v>
      </c>
    </row>
    <row r="150" spans="1:10" x14ac:dyDescent="0.2">
      <c r="A150">
        <v>121</v>
      </c>
      <c r="B150" t="s">
        <v>43</v>
      </c>
      <c r="C150" t="s">
        <v>967</v>
      </c>
      <c r="D150">
        <v>0.93600000000000005</v>
      </c>
      <c r="E150">
        <v>4</v>
      </c>
      <c r="F150" t="s">
        <v>759</v>
      </c>
      <c r="G150" t="s">
        <v>33</v>
      </c>
      <c r="H150" t="s">
        <v>40</v>
      </c>
      <c r="I150" t="s">
        <v>212</v>
      </c>
      <c r="J150" t="s">
        <v>968</v>
      </c>
    </row>
    <row r="151" spans="1:10" x14ac:dyDescent="0.2">
      <c r="A151">
        <v>122</v>
      </c>
      <c r="B151" t="s">
        <v>118</v>
      </c>
      <c r="C151" t="s">
        <v>969</v>
      </c>
      <c r="D151">
        <v>1.5569999999999999</v>
      </c>
      <c r="E151">
        <v>3</v>
      </c>
      <c r="F151" t="s">
        <v>687</v>
      </c>
      <c r="G151" t="s">
        <v>33</v>
      </c>
      <c r="H151" t="s">
        <v>40</v>
      </c>
      <c r="I151" t="s">
        <v>66</v>
      </c>
      <c r="J151" t="s">
        <v>970</v>
      </c>
    </row>
    <row r="152" spans="1:10" x14ac:dyDescent="0.2">
      <c r="A152">
        <v>123</v>
      </c>
      <c r="B152" t="s">
        <v>123</v>
      </c>
      <c r="C152" t="s">
        <v>971</v>
      </c>
      <c r="D152">
        <v>2.234</v>
      </c>
      <c r="E152">
        <v>2</v>
      </c>
      <c r="F152" t="s">
        <v>684</v>
      </c>
      <c r="G152" t="s">
        <v>64</v>
      </c>
      <c r="H152" t="s">
        <v>40</v>
      </c>
      <c r="I152" t="s">
        <v>80</v>
      </c>
      <c r="J152" t="s">
        <v>972</v>
      </c>
    </row>
    <row r="153" spans="1:10" x14ac:dyDescent="0.2">
      <c r="A153">
        <v>124</v>
      </c>
      <c r="B153" t="s">
        <v>43</v>
      </c>
      <c r="C153" t="s">
        <v>973</v>
      </c>
      <c r="D153">
        <v>0.7</v>
      </c>
      <c r="E153">
        <v>4</v>
      </c>
      <c r="F153" t="s">
        <v>682</v>
      </c>
      <c r="G153" t="s">
        <v>33</v>
      </c>
      <c r="H153" t="s">
        <v>40</v>
      </c>
      <c r="I153" t="s">
        <v>974</v>
      </c>
      <c r="J153" t="s">
        <v>975</v>
      </c>
    </row>
    <row r="154" spans="1:10" x14ac:dyDescent="0.2">
      <c r="A154">
        <v>125</v>
      </c>
      <c r="B154" t="s">
        <v>43</v>
      </c>
      <c r="C154" t="s">
        <v>976</v>
      </c>
      <c r="D154">
        <v>0.94599999999999995</v>
      </c>
      <c r="E154">
        <v>4</v>
      </c>
      <c r="F154" t="s">
        <v>759</v>
      </c>
      <c r="G154" t="s">
        <v>33</v>
      </c>
      <c r="H154" t="s">
        <v>40</v>
      </c>
      <c r="I154" t="s">
        <v>974</v>
      </c>
      <c r="J154" t="s">
        <v>977</v>
      </c>
    </row>
    <row r="155" spans="1:10" x14ac:dyDescent="0.2">
      <c r="A155">
        <v>126</v>
      </c>
      <c r="B155" t="s">
        <v>113</v>
      </c>
      <c r="C155" t="s">
        <v>388</v>
      </c>
      <c r="D155">
        <v>-0.22800000000000001</v>
      </c>
      <c r="E155" t="s">
        <v>978</v>
      </c>
      <c r="F155" t="s">
        <v>979</v>
      </c>
      <c r="G155" t="s">
        <v>64</v>
      </c>
      <c r="H155" t="s">
        <v>40</v>
      </c>
      <c r="I155" t="s">
        <v>980</v>
      </c>
      <c r="J155" t="s">
        <v>981</v>
      </c>
    </row>
    <row r="156" spans="1:10" x14ac:dyDescent="0.2">
      <c r="A156">
        <v>127</v>
      </c>
      <c r="B156" t="s">
        <v>156</v>
      </c>
      <c r="C156" t="s">
        <v>982</v>
      </c>
      <c r="D156">
        <v>-0.22800000000000001</v>
      </c>
      <c r="E156" t="s">
        <v>978</v>
      </c>
      <c r="F156" t="s">
        <v>983</v>
      </c>
      <c r="G156" t="s">
        <v>33</v>
      </c>
      <c r="H156" t="s">
        <v>40</v>
      </c>
      <c r="I156" t="s">
        <v>980</v>
      </c>
      <c r="J156" t="s">
        <v>880</v>
      </c>
    </row>
    <row r="157" spans="1:10" x14ac:dyDescent="0.2">
      <c r="A157">
        <v>128</v>
      </c>
      <c r="B157" t="s">
        <v>97</v>
      </c>
      <c r="C157" t="s">
        <v>984</v>
      </c>
      <c r="D157">
        <v>-0.22800000000000001</v>
      </c>
      <c r="E157" t="s">
        <v>978</v>
      </c>
      <c r="F157" t="s">
        <v>979</v>
      </c>
      <c r="G157" t="s">
        <v>33</v>
      </c>
      <c r="H157" t="s">
        <v>40</v>
      </c>
      <c r="I157" t="s">
        <v>980</v>
      </c>
      <c r="J157" t="s">
        <v>899</v>
      </c>
    </row>
    <row r="158" spans="1:10" x14ac:dyDescent="0.2">
      <c r="A158">
        <v>129</v>
      </c>
      <c r="B158" t="s">
        <v>43</v>
      </c>
      <c r="C158" t="s">
        <v>985</v>
      </c>
      <c r="D158">
        <v>0.55500000000000005</v>
      </c>
      <c r="E158" t="s">
        <v>986</v>
      </c>
      <c r="F158" t="s">
        <v>987</v>
      </c>
      <c r="G158" t="s">
        <v>33</v>
      </c>
      <c r="H158" t="s">
        <v>40</v>
      </c>
      <c r="I158" t="s">
        <v>988</v>
      </c>
      <c r="J158" t="s">
        <v>989</v>
      </c>
    </row>
    <row r="159" spans="1:10" x14ac:dyDescent="0.2">
      <c r="A159">
        <v>130</v>
      </c>
      <c r="B159" t="s">
        <v>37</v>
      </c>
      <c r="C159" t="s">
        <v>990</v>
      </c>
      <c r="D159">
        <v>0.42199999999999999</v>
      </c>
      <c r="E159" t="s">
        <v>986</v>
      </c>
      <c r="F159" t="s">
        <v>991</v>
      </c>
      <c r="G159" t="s">
        <v>33</v>
      </c>
      <c r="H159" t="s">
        <v>40</v>
      </c>
      <c r="I159" t="s">
        <v>988</v>
      </c>
      <c r="J159" t="s">
        <v>992</v>
      </c>
    </row>
    <row r="160" spans="1:10" x14ac:dyDescent="0.2">
      <c r="A160">
        <v>131</v>
      </c>
      <c r="B160" t="s">
        <v>43</v>
      </c>
      <c r="C160" t="s">
        <v>993</v>
      </c>
      <c r="D160">
        <v>-0.38300000000000001</v>
      </c>
      <c r="E160" t="s">
        <v>994</v>
      </c>
      <c r="F160" t="s">
        <v>995</v>
      </c>
      <c r="G160" t="s">
        <v>33</v>
      </c>
      <c r="H160" t="s">
        <v>40</v>
      </c>
      <c r="I160" t="s">
        <v>988</v>
      </c>
      <c r="J160" t="s">
        <v>894</v>
      </c>
    </row>
    <row r="161" spans="1:18" x14ac:dyDescent="0.2">
      <c r="A161">
        <v>132</v>
      </c>
      <c r="B161" t="s">
        <v>101</v>
      </c>
      <c r="C161" t="s">
        <v>996</v>
      </c>
      <c r="D161">
        <v>-0.22800000000000001</v>
      </c>
      <c r="E161" t="s">
        <v>978</v>
      </c>
      <c r="F161" t="s">
        <v>983</v>
      </c>
      <c r="G161" t="s">
        <v>33</v>
      </c>
      <c r="H161" t="s">
        <v>40</v>
      </c>
      <c r="I161" t="s">
        <v>980</v>
      </c>
      <c r="J161" t="s">
        <v>997</v>
      </c>
    </row>
    <row r="162" spans="1:18" x14ac:dyDescent="0.2">
      <c r="A162">
        <v>133</v>
      </c>
      <c r="B162" t="s">
        <v>101</v>
      </c>
      <c r="C162" t="s">
        <v>998</v>
      </c>
      <c r="D162">
        <v>0.85</v>
      </c>
      <c r="E162" t="s">
        <v>986</v>
      </c>
      <c r="F162" t="s">
        <v>999</v>
      </c>
      <c r="G162" t="s">
        <v>33</v>
      </c>
      <c r="H162" t="s">
        <v>40</v>
      </c>
      <c r="I162" t="s">
        <v>1000</v>
      </c>
      <c r="J162" t="s">
        <v>1001</v>
      </c>
      <c r="L162" t="s">
        <v>2190</v>
      </c>
    </row>
    <row r="163" spans="1:18" x14ac:dyDescent="0.2">
      <c r="A163">
        <v>134</v>
      </c>
      <c r="B163" t="s">
        <v>43</v>
      </c>
      <c r="C163" t="s">
        <v>1002</v>
      </c>
      <c r="D163">
        <v>3.0489999999999999</v>
      </c>
      <c r="E163">
        <v>1</v>
      </c>
      <c r="F163" t="s">
        <v>828</v>
      </c>
      <c r="G163" t="s">
        <v>33</v>
      </c>
      <c r="H163" t="s">
        <v>40</v>
      </c>
      <c r="I163" t="s">
        <v>1003</v>
      </c>
      <c r="J163" t="s">
        <v>1004</v>
      </c>
      <c r="L163" t="s">
        <v>2378</v>
      </c>
      <c r="N163" t="str">
        <f>RIGHT((LEFT(L163,9)),7)</f>
        <v xml:space="preserve"> 8.1354</v>
      </c>
      <c r="Q163">
        <v>8.1354000000000006</v>
      </c>
      <c r="R163">
        <v>1</v>
      </c>
    </row>
    <row r="164" spans="1:18" x14ac:dyDescent="0.2">
      <c r="A164">
        <v>135</v>
      </c>
      <c r="B164" t="s">
        <v>43</v>
      </c>
      <c r="C164" t="s">
        <v>1005</v>
      </c>
      <c r="D164">
        <v>1.8919999999999999</v>
      </c>
      <c r="E164">
        <v>2</v>
      </c>
      <c r="F164" t="s">
        <v>842</v>
      </c>
      <c r="G164" t="s">
        <v>33</v>
      </c>
      <c r="H164" t="s">
        <v>40</v>
      </c>
      <c r="I164" t="s">
        <v>162</v>
      </c>
      <c r="J164" t="s">
        <v>1006</v>
      </c>
      <c r="L164" t="s">
        <v>2379</v>
      </c>
      <c r="N164" t="str">
        <f t="shared" ref="N164:N171" si="0">RIGHT((LEFT(L164,9)),7)</f>
        <v xml:space="preserve"> 7.7566</v>
      </c>
      <c r="Q164">
        <v>7.7565999999999997</v>
      </c>
      <c r="R164">
        <v>2</v>
      </c>
    </row>
    <row r="165" spans="1:18" x14ac:dyDescent="0.2">
      <c r="A165">
        <v>136</v>
      </c>
      <c r="B165" t="s">
        <v>123</v>
      </c>
      <c r="C165" t="s">
        <v>1007</v>
      </c>
      <c r="D165">
        <v>1.149</v>
      </c>
      <c r="E165">
        <v>3</v>
      </c>
      <c r="F165" t="s">
        <v>749</v>
      </c>
      <c r="G165" t="s">
        <v>33</v>
      </c>
      <c r="H165" t="s">
        <v>40</v>
      </c>
      <c r="I165" t="s">
        <v>162</v>
      </c>
      <c r="J165" t="s">
        <v>1008</v>
      </c>
      <c r="L165" t="s">
        <v>2380</v>
      </c>
      <c r="N165" t="str">
        <f t="shared" si="0"/>
        <v xml:space="preserve"> 6.3782</v>
      </c>
      <c r="Q165">
        <v>6.3781999999999996</v>
      </c>
      <c r="R165">
        <v>3</v>
      </c>
    </row>
    <row r="166" spans="1:18" x14ac:dyDescent="0.2">
      <c r="A166">
        <v>137</v>
      </c>
      <c r="B166" t="s">
        <v>43</v>
      </c>
      <c r="C166" t="s">
        <v>1009</v>
      </c>
      <c r="D166">
        <v>2.415</v>
      </c>
      <c r="E166">
        <v>2</v>
      </c>
      <c r="F166" t="s">
        <v>684</v>
      </c>
      <c r="G166" t="s">
        <v>33</v>
      </c>
      <c r="H166" t="s">
        <v>40</v>
      </c>
      <c r="I166" t="s">
        <v>162</v>
      </c>
      <c r="J166" t="s">
        <v>1010</v>
      </c>
      <c r="L166" t="s">
        <v>2381</v>
      </c>
      <c r="N166" t="str">
        <f t="shared" si="0"/>
        <v xml:space="preserve"> 4.4443</v>
      </c>
      <c r="Q166">
        <v>4.4443000000000001</v>
      </c>
      <c r="R166">
        <v>2</v>
      </c>
    </row>
    <row r="167" spans="1:18" x14ac:dyDescent="0.2">
      <c r="A167">
        <v>138</v>
      </c>
      <c r="B167" t="s">
        <v>37</v>
      </c>
      <c r="C167" t="s">
        <v>1011</v>
      </c>
      <c r="D167">
        <v>0.55400000000000005</v>
      </c>
      <c r="E167">
        <v>4</v>
      </c>
      <c r="F167" t="s">
        <v>682</v>
      </c>
      <c r="G167" t="s">
        <v>33</v>
      </c>
      <c r="H167" t="s">
        <v>40</v>
      </c>
      <c r="I167" t="s">
        <v>933</v>
      </c>
      <c r="J167" t="s">
        <v>1012</v>
      </c>
      <c r="L167" t="s">
        <v>2382</v>
      </c>
      <c r="N167" t="str">
        <f t="shared" si="0"/>
        <v xml:space="preserve"> 4.1990</v>
      </c>
      <c r="Q167">
        <v>4.1989999999999998</v>
      </c>
      <c r="R167">
        <v>4</v>
      </c>
    </row>
    <row r="168" spans="1:18" x14ac:dyDescent="0.2">
      <c r="A168">
        <v>139</v>
      </c>
      <c r="B168" t="s">
        <v>52</v>
      </c>
      <c r="C168" t="s">
        <v>1013</v>
      </c>
      <c r="D168">
        <v>1.3720000000000001</v>
      </c>
      <c r="E168">
        <v>3</v>
      </c>
      <c r="F168" t="s">
        <v>687</v>
      </c>
      <c r="G168" t="s">
        <v>33</v>
      </c>
      <c r="H168" t="s">
        <v>40</v>
      </c>
      <c r="I168" t="s">
        <v>936</v>
      </c>
      <c r="J168" t="s">
        <v>1014</v>
      </c>
      <c r="L168" t="s">
        <v>2383</v>
      </c>
      <c r="N168" t="str">
        <f t="shared" si="0"/>
        <v xml:space="preserve"> 4.4659</v>
      </c>
      <c r="Q168">
        <v>4.4659000000000004</v>
      </c>
      <c r="R168">
        <v>3</v>
      </c>
    </row>
    <row r="169" spans="1:18" x14ac:dyDescent="0.2">
      <c r="A169">
        <v>140</v>
      </c>
      <c r="B169" t="s">
        <v>127</v>
      </c>
      <c r="C169" t="s">
        <v>1015</v>
      </c>
      <c r="D169">
        <v>0.39400000000000002</v>
      </c>
      <c r="E169">
        <v>4</v>
      </c>
      <c r="F169" t="s">
        <v>690</v>
      </c>
      <c r="G169" t="s">
        <v>33</v>
      </c>
      <c r="H169" t="s">
        <v>40</v>
      </c>
      <c r="I169" t="s">
        <v>933</v>
      </c>
      <c r="J169" t="s">
        <v>1016</v>
      </c>
      <c r="L169" t="s">
        <v>2384</v>
      </c>
      <c r="N169" t="str">
        <f t="shared" si="0"/>
        <v xml:space="preserve"> 4.3355</v>
      </c>
      <c r="Q169">
        <v>4.3354999999999997</v>
      </c>
      <c r="R169">
        <v>4</v>
      </c>
    </row>
    <row r="170" spans="1:18" x14ac:dyDescent="0.2">
      <c r="A170">
        <v>141</v>
      </c>
      <c r="B170" t="s">
        <v>123</v>
      </c>
      <c r="C170" t="s">
        <v>1017</v>
      </c>
      <c r="D170">
        <v>2.8000000000000001E-2</v>
      </c>
      <c r="E170">
        <v>5</v>
      </c>
      <c r="F170" t="s">
        <v>696</v>
      </c>
      <c r="G170" t="s">
        <v>33</v>
      </c>
      <c r="H170" t="s">
        <v>40</v>
      </c>
      <c r="I170" t="s">
        <v>228</v>
      </c>
      <c r="J170" t="s">
        <v>1018</v>
      </c>
      <c r="L170" t="s">
        <v>2385</v>
      </c>
      <c r="N170" t="str">
        <f t="shared" si="0"/>
        <v xml:space="preserve"> 5.1443</v>
      </c>
      <c r="Q170">
        <v>5.1443000000000003</v>
      </c>
      <c r="R170">
        <v>5</v>
      </c>
    </row>
    <row r="171" spans="1:18" x14ac:dyDescent="0.2">
      <c r="A171">
        <v>142</v>
      </c>
      <c r="B171" t="s">
        <v>123</v>
      </c>
      <c r="C171" t="s">
        <v>1019</v>
      </c>
      <c r="D171">
        <v>1.6779999999999999</v>
      </c>
      <c r="E171">
        <v>3</v>
      </c>
      <c r="F171" t="s">
        <v>842</v>
      </c>
      <c r="G171" t="s">
        <v>33</v>
      </c>
      <c r="H171" t="s">
        <v>40</v>
      </c>
      <c r="I171" t="s">
        <v>228</v>
      </c>
      <c r="J171" t="s">
        <v>1020</v>
      </c>
      <c r="L171" t="s">
        <v>2386</v>
      </c>
      <c r="N171" t="str">
        <f t="shared" si="0"/>
        <v xml:space="preserve"> 5.1539</v>
      </c>
      <c r="Q171">
        <v>5.1539000000000001</v>
      </c>
      <c r="R171">
        <v>3</v>
      </c>
    </row>
    <row r="172" spans="1:18" x14ac:dyDescent="0.2">
      <c r="A172">
        <v>143</v>
      </c>
      <c r="B172" t="s">
        <v>74</v>
      </c>
      <c r="C172" t="s">
        <v>1021</v>
      </c>
      <c r="D172">
        <v>0.59199999999999997</v>
      </c>
      <c r="E172">
        <v>4</v>
      </c>
      <c r="F172" t="s">
        <v>682</v>
      </c>
      <c r="G172" t="s">
        <v>33</v>
      </c>
      <c r="H172" t="s">
        <v>40</v>
      </c>
      <c r="I172" t="s">
        <v>228</v>
      </c>
      <c r="J172" t="s">
        <v>1022</v>
      </c>
      <c r="L172" t="s">
        <v>2387</v>
      </c>
      <c r="N172" t="str">
        <f>RIGHT((LEFT(L172,10)),7)</f>
        <v xml:space="preserve"> 5.3589</v>
      </c>
      <c r="Q172">
        <v>5.3589000000000002</v>
      </c>
      <c r="R172">
        <v>4</v>
      </c>
    </row>
    <row r="173" spans="1:18" x14ac:dyDescent="0.2">
      <c r="A173">
        <v>144</v>
      </c>
      <c r="B173" t="s">
        <v>37</v>
      </c>
      <c r="C173" t="s">
        <v>1023</v>
      </c>
      <c r="D173">
        <v>0.24199999999999999</v>
      </c>
      <c r="E173">
        <v>5</v>
      </c>
      <c r="F173" t="s">
        <v>783</v>
      </c>
      <c r="G173" t="s">
        <v>33</v>
      </c>
      <c r="H173" t="s">
        <v>40</v>
      </c>
      <c r="I173" t="s">
        <v>228</v>
      </c>
      <c r="J173" t="s">
        <v>1024</v>
      </c>
      <c r="L173" t="s">
        <v>2388</v>
      </c>
      <c r="N173" t="str">
        <f t="shared" ref="N173:N236" si="1">RIGHT((LEFT(L173,10)),7)</f>
        <v xml:space="preserve"> 4.5494</v>
      </c>
      <c r="Q173">
        <v>4.5494000000000003</v>
      </c>
      <c r="R173">
        <v>5</v>
      </c>
    </row>
    <row r="174" spans="1:18" x14ac:dyDescent="0.2">
      <c r="A174">
        <v>145</v>
      </c>
      <c r="B174" t="s">
        <v>123</v>
      </c>
      <c r="C174" t="s">
        <v>1025</v>
      </c>
      <c r="D174">
        <v>0.65900000000000003</v>
      </c>
      <c r="E174">
        <v>4</v>
      </c>
      <c r="F174" t="s">
        <v>682</v>
      </c>
      <c r="G174" t="s">
        <v>33</v>
      </c>
      <c r="H174" t="s">
        <v>40</v>
      </c>
      <c r="I174" t="s">
        <v>228</v>
      </c>
      <c r="J174" t="s">
        <v>1026</v>
      </c>
      <c r="L174" t="s">
        <v>2389</v>
      </c>
      <c r="N174" t="str">
        <f t="shared" si="1"/>
        <v xml:space="preserve"> 3.9660</v>
      </c>
      <c r="Q174">
        <v>3.9660000000000002</v>
      </c>
      <c r="R174">
        <v>4</v>
      </c>
    </row>
    <row r="175" spans="1:18" x14ac:dyDescent="0.2">
      <c r="A175">
        <v>146</v>
      </c>
      <c r="B175" t="s">
        <v>37</v>
      </c>
      <c r="C175" t="s">
        <v>1027</v>
      </c>
      <c r="D175">
        <v>-0.26800000000000002</v>
      </c>
      <c r="E175">
        <v>6</v>
      </c>
      <c r="F175" t="s">
        <v>723</v>
      </c>
      <c r="G175" t="s">
        <v>33</v>
      </c>
      <c r="H175" t="s">
        <v>40</v>
      </c>
      <c r="I175" t="s">
        <v>228</v>
      </c>
      <c r="J175" t="s">
        <v>1028</v>
      </c>
      <c r="L175" t="s">
        <v>2390</v>
      </c>
      <c r="N175" t="str">
        <f t="shared" si="1"/>
        <v xml:space="preserve"> 4.5133</v>
      </c>
      <c r="Q175">
        <v>4.5133000000000001</v>
      </c>
      <c r="R175">
        <v>6</v>
      </c>
    </row>
    <row r="176" spans="1:18" x14ac:dyDescent="0.2">
      <c r="A176">
        <v>147</v>
      </c>
      <c r="B176" t="s">
        <v>37</v>
      </c>
      <c r="C176" t="s">
        <v>1029</v>
      </c>
      <c r="D176">
        <v>-0.13900000000000001</v>
      </c>
      <c r="E176">
        <v>6</v>
      </c>
      <c r="F176" t="s">
        <v>1030</v>
      </c>
      <c r="G176" t="s">
        <v>33</v>
      </c>
      <c r="H176" t="s">
        <v>40</v>
      </c>
      <c r="I176" t="s">
        <v>228</v>
      </c>
      <c r="J176" t="s">
        <v>1031</v>
      </c>
      <c r="L176" t="s">
        <v>2391</v>
      </c>
      <c r="N176" t="str">
        <f t="shared" si="1"/>
        <v xml:space="preserve"> 4.4266</v>
      </c>
      <c r="Q176">
        <v>4.4265999999999996</v>
      </c>
      <c r="R176">
        <v>6</v>
      </c>
    </row>
    <row r="177" spans="1:18" x14ac:dyDescent="0.2">
      <c r="A177">
        <v>148</v>
      </c>
      <c r="B177" t="s">
        <v>113</v>
      </c>
      <c r="C177" t="s">
        <v>1032</v>
      </c>
      <c r="D177">
        <v>-0.64400000000000002</v>
      </c>
      <c r="E177">
        <v>8</v>
      </c>
      <c r="F177" t="s">
        <v>755</v>
      </c>
      <c r="G177" t="s">
        <v>64</v>
      </c>
      <c r="H177" t="s">
        <v>40</v>
      </c>
      <c r="I177" t="s">
        <v>228</v>
      </c>
      <c r="J177" t="s">
        <v>1033</v>
      </c>
      <c r="L177" t="s">
        <v>2392</v>
      </c>
      <c r="N177" t="str">
        <f t="shared" si="1"/>
        <v xml:space="preserve"> 2.7235</v>
      </c>
      <c r="Q177">
        <v>2.7235</v>
      </c>
      <c r="R177">
        <v>8</v>
      </c>
    </row>
    <row r="178" spans="1:18" x14ac:dyDescent="0.2">
      <c r="A178">
        <v>149</v>
      </c>
      <c r="B178" t="s">
        <v>52</v>
      </c>
      <c r="C178" t="s">
        <v>441</v>
      </c>
      <c r="D178">
        <v>-0.63300000000000001</v>
      </c>
      <c r="E178">
        <v>8</v>
      </c>
      <c r="F178" t="s">
        <v>909</v>
      </c>
      <c r="G178" t="s">
        <v>33</v>
      </c>
      <c r="H178" t="s">
        <v>34</v>
      </c>
      <c r="I178" t="s">
        <v>228</v>
      </c>
      <c r="J178" t="s">
        <v>1034</v>
      </c>
      <c r="L178" t="s">
        <v>2393</v>
      </c>
      <c r="N178" t="str">
        <f t="shared" si="1"/>
        <v xml:space="preserve"> 2.6853</v>
      </c>
      <c r="Q178">
        <v>2.6852999999999998</v>
      </c>
      <c r="R178">
        <v>8</v>
      </c>
    </row>
    <row r="179" spans="1:18" x14ac:dyDescent="0.2">
      <c r="A179">
        <v>150</v>
      </c>
      <c r="B179" t="s">
        <v>127</v>
      </c>
      <c r="C179" t="s">
        <v>1035</v>
      </c>
      <c r="D179">
        <v>-0.14499999999999999</v>
      </c>
      <c r="E179">
        <v>6</v>
      </c>
      <c r="F179" t="s">
        <v>1030</v>
      </c>
      <c r="G179" t="s">
        <v>33</v>
      </c>
      <c r="H179" t="s">
        <v>40</v>
      </c>
      <c r="I179" t="s">
        <v>228</v>
      </c>
      <c r="J179" t="s">
        <v>1036</v>
      </c>
      <c r="L179" t="s">
        <v>2394</v>
      </c>
      <c r="N179" t="str">
        <f t="shared" si="1"/>
        <v xml:space="preserve"> 3.6399</v>
      </c>
      <c r="Q179">
        <v>3.6398999999999999</v>
      </c>
      <c r="R179">
        <v>6</v>
      </c>
    </row>
    <row r="180" spans="1:18" x14ac:dyDescent="0.2">
      <c r="A180">
        <v>151</v>
      </c>
      <c r="B180" t="s">
        <v>127</v>
      </c>
      <c r="C180" t="s">
        <v>1037</v>
      </c>
      <c r="D180">
        <v>-0.75</v>
      </c>
      <c r="E180">
        <v>9</v>
      </c>
      <c r="F180" t="s">
        <v>1038</v>
      </c>
      <c r="G180" t="s">
        <v>33</v>
      </c>
      <c r="H180" t="s">
        <v>34</v>
      </c>
      <c r="I180" t="s">
        <v>228</v>
      </c>
      <c r="J180" t="s">
        <v>1039</v>
      </c>
      <c r="L180" t="s">
        <v>2395</v>
      </c>
      <c r="N180" t="str">
        <f t="shared" si="1"/>
        <v xml:space="preserve"> 2.3924</v>
      </c>
      <c r="Q180">
        <v>2.3923999999999999</v>
      </c>
      <c r="R180">
        <v>9</v>
      </c>
    </row>
    <row r="181" spans="1:18" x14ac:dyDescent="0.2">
      <c r="A181">
        <v>152</v>
      </c>
      <c r="B181" t="s">
        <v>57</v>
      </c>
      <c r="C181" t="s">
        <v>1040</v>
      </c>
      <c r="D181">
        <v>-0.89500000000000002</v>
      </c>
      <c r="E181">
        <v>9</v>
      </c>
      <c r="F181" t="s">
        <v>675</v>
      </c>
      <c r="G181" t="s">
        <v>64</v>
      </c>
      <c r="H181" t="s">
        <v>65</v>
      </c>
      <c r="I181" t="s">
        <v>165</v>
      </c>
      <c r="J181" t="s">
        <v>915</v>
      </c>
      <c r="L181" t="s">
        <v>2396</v>
      </c>
      <c r="N181" t="str">
        <f t="shared" si="1"/>
        <v xml:space="preserve"> 2.1805</v>
      </c>
      <c r="Q181">
        <v>2.1804999999999999</v>
      </c>
      <c r="R181">
        <v>9</v>
      </c>
    </row>
    <row r="182" spans="1:18" x14ac:dyDescent="0.2">
      <c r="A182">
        <v>153</v>
      </c>
      <c r="B182" t="s">
        <v>37</v>
      </c>
      <c r="C182" t="s">
        <v>1041</v>
      </c>
      <c r="D182">
        <v>-0.91400000000000003</v>
      </c>
      <c r="E182">
        <v>9</v>
      </c>
      <c r="F182" t="s">
        <v>717</v>
      </c>
      <c r="G182" t="s">
        <v>33</v>
      </c>
      <c r="H182" t="s">
        <v>34</v>
      </c>
      <c r="I182" t="s">
        <v>165</v>
      </c>
      <c r="J182" t="s">
        <v>917</v>
      </c>
      <c r="L182" t="s">
        <v>2397</v>
      </c>
      <c r="N182" t="str">
        <f t="shared" si="1"/>
        <v xml:space="preserve"> 3.1697</v>
      </c>
      <c r="Q182">
        <v>3.1697000000000002</v>
      </c>
      <c r="R182">
        <v>9</v>
      </c>
    </row>
    <row r="183" spans="1:18" x14ac:dyDescent="0.2">
      <c r="A183">
        <v>154</v>
      </c>
      <c r="B183" t="s">
        <v>52</v>
      </c>
      <c r="C183" t="s">
        <v>1042</v>
      </c>
      <c r="D183">
        <v>1.006</v>
      </c>
      <c r="E183">
        <v>4</v>
      </c>
      <c r="F183" t="s">
        <v>749</v>
      </c>
      <c r="G183" t="s">
        <v>33</v>
      </c>
      <c r="H183" t="s">
        <v>40</v>
      </c>
      <c r="I183" t="s">
        <v>165</v>
      </c>
      <c r="J183" t="s">
        <v>1043</v>
      </c>
      <c r="L183" t="s">
        <v>2398</v>
      </c>
      <c r="N183" t="str">
        <f t="shared" si="1"/>
        <v xml:space="preserve"> 3.2510</v>
      </c>
      <c r="Q183">
        <v>3.2509999999999999</v>
      </c>
      <c r="R183">
        <v>4</v>
      </c>
    </row>
    <row r="184" spans="1:18" x14ac:dyDescent="0.2">
      <c r="A184">
        <v>155</v>
      </c>
      <c r="B184" t="s">
        <v>142</v>
      </c>
      <c r="C184" t="s">
        <v>1044</v>
      </c>
      <c r="D184">
        <v>-0.877</v>
      </c>
      <c r="E184">
        <v>9</v>
      </c>
      <c r="F184" t="s">
        <v>1045</v>
      </c>
      <c r="G184" t="s">
        <v>64</v>
      </c>
      <c r="H184" t="s">
        <v>65</v>
      </c>
      <c r="I184" t="s">
        <v>165</v>
      </c>
      <c r="J184" t="s">
        <v>1046</v>
      </c>
      <c r="L184" t="s">
        <v>2399</v>
      </c>
      <c r="N184" t="str">
        <f t="shared" si="1"/>
        <v xml:space="preserve"> 3.5719</v>
      </c>
      <c r="Q184">
        <v>3.5718999999999999</v>
      </c>
      <c r="R184">
        <v>9</v>
      </c>
    </row>
    <row r="185" spans="1:18" x14ac:dyDescent="0.2">
      <c r="A185">
        <v>156</v>
      </c>
      <c r="B185" t="s">
        <v>113</v>
      </c>
      <c r="C185" t="s">
        <v>1047</v>
      </c>
      <c r="D185">
        <v>-4.2999999999999997E-2</v>
      </c>
      <c r="E185">
        <v>5</v>
      </c>
      <c r="F185" t="s">
        <v>701</v>
      </c>
      <c r="G185" t="s">
        <v>64</v>
      </c>
      <c r="H185" t="s">
        <v>40</v>
      </c>
      <c r="I185" t="s">
        <v>228</v>
      </c>
      <c r="J185" t="s">
        <v>1048</v>
      </c>
      <c r="L185" t="s">
        <v>2400</v>
      </c>
      <c r="N185" t="str">
        <f t="shared" si="1"/>
        <v xml:space="preserve"> 2.4666</v>
      </c>
      <c r="Q185">
        <v>2.4666000000000001</v>
      </c>
      <c r="R185">
        <v>5</v>
      </c>
    </row>
    <row r="186" spans="1:18" x14ac:dyDescent="0.2">
      <c r="A186">
        <v>157</v>
      </c>
      <c r="B186" t="s">
        <v>123</v>
      </c>
      <c r="C186" t="s">
        <v>1049</v>
      </c>
      <c r="D186">
        <v>-0.32500000000000001</v>
      </c>
      <c r="E186">
        <v>7</v>
      </c>
      <c r="F186" t="s">
        <v>901</v>
      </c>
      <c r="G186" t="s">
        <v>33</v>
      </c>
      <c r="H186" t="s">
        <v>40</v>
      </c>
      <c r="I186" t="s">
        <v>228</v>
      </c>
      <c r="J186" t="s">
        <v>1050</v>
      </c>
      <c r="L186" t="s">
        <v>2401</v>
      </c>
      <c r="N186" t="str">
        <f t="shared" si="1"/>
        <v xml:space="preserve"> 3.1838</v>
      </c>
      <c r="Q186">
        <v>3.1838000000000002</v>
      </c>
      <c r="R186">
        <v>7</v>
      </c>
    </row>
    <row r="187" spans="1:18" x14ac:dyDescent="0.2">
      <c r="A187">
        <v>158</v>
      </c>
      <c r="B187" t="s">
        <v>37</v>
      </c>
      <c r="C187" t="s">
        <v>1051</v>
      </c>
      <c r="D187">
        <v>-0.60499999999999998</v>
      </c>
      <c r="E187">
        <v>8</v>
      </c>
      <c r="F187" t="s">
        <v>909</v>
      </c>
      <c r="G187" t="s">
        <v>33</v>
      </c>
      <c r="H187" t="s">
        <v>34</v>
      </c>
      <c r="I187" t="s">
        <v>228</v>
      </c>
      <c r="J187" t="s">
        <v>1052</v>
      </c>
      <c r="L187" t="s">
        <v>2402</v>
      </c>
      <c r="N187" t="str">
        <f t="shared" si="1"/>
        <v xml:space="preserve"> 3.8558</v>
      </c>
      <c r="Q187">
        <v>3.8557999999999999</v>
      </c>
      <c r="R187">
        <v>8</v>
      </c>
    </row>
    <row r="188" spans="1:18" x14ac:dyDescent="0.2">
      <c r="A188">
        <v>159</v>
      </c>
      <c r="B188" t="s">
        <v>233</v>
      </c>
      <c r="C188" t="s">
        <v>1053</v>
      </c>
      <c r="D188">
        <v>-0.79200000000000004</v>
      </c>
      <c r="E188">
        <v>9</v>
      </c>
      <c r="F188" t="s">
        <v>1054</v>
      </c>
      <c r="G188" t="s">
        <v>64</v>
      </c>
      <c r="H188" t="s">
        <v>65</v>
      </c>
      <c r="I188" t="s">
        <v>228</v>
      </c>
      <c r="J188" t="s">
        <v>1055</v>
      </c>
      <c r="L188" t="s">
        <v>2403</v>
      </c>
      <c r="N188" t="str">
        <f t="shared" si="1"/>
        <v xml:space="preserve"> 3.3107</v>
      </c>
      <c r="Q188">
        <v>3.3107000000000002</v>
      </c>
      <c r="R188">
        <v>9</v>
      </c>
    </row>
    <row r="189" spans="1:18" x14ac:dyDescent="0.2">
      <c r="A189">
        <v>160</v>
      </c>
      <c r="B189" t="s">
        <v>43</v>
      </c>
      <c r="C189" t="s">
        <v>1056</v>
      </c>
      <c r="D189">
        <v>-0.63700000000000001</v>
      </c>
      <c r="E189">
        <v>8</v>
      </c>
      <c r="F189" t="s">
        <v>906</v>
      </c>
      <c r="G189" t="s">
        <v>33</v>
      </c>
      <c r="H189" t="s">
        <v>34</v>
      </c>
      <c r="I189" t="s">
        <v>228</v>
      </c>
      <c r="J189" t="s">
        <v>1057</v>
      </c>
      <c r="L189" t="s">
        <v>2404</v>
      </c>
      <c r="N189" t="str">
        <f t="shared" si="1"/>
        <v xml:space="preserve"> 2.8778</v>
      </c>
      <c r="Q189">
        <v>2.8778000000000001</v>
      </c>
      <c r="R189">
        <v>8</v>
      </c>
    </row>
    <row r="190" spans="1:18" x14ac:dyDescent="0.2">
      <c r="A190">
        <v>161</v>
      </c>
      <c r="B190" t="s">
        <v>135</v>
      </c>
      <c r="C190" t="s">
        <v>1058</v>
      </c>
      <c r="D190">
        <v>-0.86899999999999999</v>
      </c>
      <c r="E190">
        <v>9</v>
      </c>
      <c r="F190" t="s">
        <v>1059</v>
      </c>
      <c r="G190" t="s">
        <v>33</v>
      </c>
      <c r="H190" t="s">
        <v>34</v>
      </c>
      <c r="I190" t="s">
        <v>228</v>
      </c>
      <c r="J190" t="s">
        <v>1060</v>
      </c>
      <c r="L190" t="s">
        <v>2405</v>
      </c>
      <c r="N190" t="str">
        <f t="shared" si="1"/>
        <v xml:space="preserve"> 3.8824</v>
      </c>
      <c r="Q190">
        <v>3.8824000000000001</v>
      </c>
      <c r="R190">
        <v>9</v>
      </c>
    </row>
    <row r="191" spans="1:18" x14ac:dyDescent="0.2">
      <c r="A191">
        <v>162</v>
      </c>
      <c r="B191" t="s">
        <v>43</v>
      </c>
      <c r="C191" t="s">
        <v>1061</v>
      </c>
      <c r="D191">
        <v>-0.71599999999999997</v>
      </c>
      <c r="E191">
        <v>8</v>
      </c>
      <c r="F191" t="s">
        <v>1062</v>
      </c>
      <c r="G191" t="s">
        <v>33</v>
      </c>
      <c r="H191" t="s">
        <v>34</v>
      </c>
      <c r="I191" t="s">
        <v>228</v>
      </c>
      <c r="J191" t="s">
        <v>1063</v>
      </c>
      <c r="L191" t="s">
        <v>2406</v>
      </c>
      <c r="N191" t="str">
        <f t="shared" si="1"/>
        <v xml:space="preserve"> 2.4669</v>
      </c>
      <c r="Q191">
        <v>2.4668999999999999</v>
      </c>
      <c r="R191">
        <v>8</v>
      </c>
    </row>
    <row r="192" spans="1:18" x14ac:dyDescent="0.2">
      <c r="A192">
        <v>163</v>
      </c>
      <c r="B192" t="s">
        <v>123</v>
      </c>
      <c r="C192" t="s">
        <v>1064</v>
      </c>
      <c r="D192">
        <v>-0.25600000000000001</v>
      </c>
      <c r="E192">
        <v>6</v>
      </c>
      <c r="F192" t="s">
        <v>723</v>
      </c>
      <c r="G192" t="s">
        <v>33</v>
      </c>
      <c r="H192" t="s">
        <v>40</v>
      </c>
      <c r="I192" t="s">
        <v>228</v>
      </c>
      <c r="J192" t="s">
        <v>1065</v>
      </c>
      <c r="L192" t="s">
        <v>2407</v>
      </c>
      <c r="N192" t="str">
        <f t="shared" si="1"/>
        <v xml:space="preserve"> 2.1032</v>
      </c>
      <c r="Q192">
        <v>2.1032000000000002</v>
      </c>
      <c r="R192">
        <v>6</v>
      </c>
    </row>
    <row r="193" spans="1:18" x14ac:dyDescent="0.2">
      <c r="A193">
        <v>164</v>
      </c>
      <c r="B193" t="s">
        <v>94</v>
      </c>
      <c r="C193" t="s">
        <v>1066</v>
      </c>
      <c r="D193">
        <v>-0.71299999999999997</v>
      </c>
      <c r="E193">
        <v>8</v>
      </c>
      <c r="F193" t="s">
        <v>1062</v>
      </c>
      <c r="G193" t="s">
        <v>64</v>
      </c>
      <c r="H193" t="s">
        <v>40</v>
      </c>
      <c r="I193" t="s">
        <v>228</v>
      </c>
      <c r="J193" t="s">
        <v>1067</v>
      </c>
      <c r="L193" t="s">
        <v>2408</v>
      </c>
      <c r="N193" t="str">
        <f t="shared" si="1"/>
        <v xml:space="preserve"> 2.1848</v>
      </c>
      <c r="Q193">
        <v>2.1848000000000001</v>
      </c>
      <c r="R193">
        <v>8</v>
      </c>
    </row>
    <row r="194" spans="1:18" x14ac:dyDescent="0.2">
      <c r="A194">
        <v>165</v>
      </c>
      <c r="B194" t="s">
        <v>127</v>
      </c>
      <c r="C194" t="s">
        <v>1068</v>
      </c>
      <c r="D194">
        <v>-0.86199999999999999</v>
      </c>
      <c r="E194">
        <v>9</v>
      </c>
      <c r="F194" t="s">
        <v>1059</v>
      </c>
      <c r="G194" t="s">
        <v>33</v>
      </c>
      <c r="H194" t="s">
        <v>34</v>
      </c>
      <c r="I194" t="s">
        <v>228</v>
      </c>
      <c r="J194" t="s">
        <v>1069</v>
      </c>
      <c r="L194" t="s">
        <v>2409</v>
      </c>
      <c r="N194" t="str">
        <f t="shared" si="1"/>
        <v xml:space="preserve"> 2.1262</v>
      </c>
      <c r="Q194">
        <v>2.1261999999999999</v>
      </c>
      <c r="R194">
        <v>9</v>
      </c>
    </row>
    <row r="195" spans="1:18" x14ac:dyDescent="0.2">
      <c r="A195">
        <v>166</v>
      </c>
      <c r="B195" t="s">
        <v>160</v>
      </c>
      <c r="C195" t="s">
        <v>1070</v>
      </c>
      <c r="D195">
        <v>-0.84899999999999998</v>
      </c>
      <c r="E195">
        <v>9</v>
      </c>
      <c r="F195" t="s">
        <v>1071</v>
      </c>
      <c r="G195" t="s">
        <v>64</v>
      </c>
      <c r="H195" t="s">
        <v>65</v>
      </c>
      <c r="I195" t="s">
        <v>228</v>
      </c>
      <c r="J195" t="s">
        <v>400</v>
      </c>
      <c r="L195" t="s">
        <v>2410</v>
      </c>
      <c r="N195" t="str">
        <f t="shared" si="1"/>
        <v xml:space="preserve"> 2.1197</v>
      </c>
      <c r="Q195">
        <v>2.1196999999999999</v>
      </c>
      <c r="R195">
        <v>9</v>
      </c>
    </row>
    <row r="196" spans="1:18" x14ac:dyDescent="0.2">
      <c r="A196">
        <v>167</v>
      </c>
      <c r="B196" t="s">
        <v>108</v>
      </c>
      <c r="C196" t="s">
        <v>1072</v>
      </c>
      <c r="D196">
        <v>0.57299999999999995</v>
      </c>
      <c r="E196">
        <v>4</v>
      </c>
      <c r="F196" t="s">
        <v>682</v>
      </c>
      <c r="G196" t="s">
        <v>64</v>
      </c>
      <c r="H196" t="s">
        <v>40</v>
      </c>
      <c r="I196" t="s">
        <v>228</v>
      </c>
      <c r="J196" t="s">
        <v>1073</v>
      </c>
      <c r="L196" t="s">
        <v>2411</v>
      </c>
      <c r="N196" t="str">
        <f t="shared" si="1"/>
        <v xml:space="preserve"> 1.6936</v>
      </c>
      <c r="Q196">
        <v>1.6936</v>
      </c>
      <c r="R196">
        <v>4</v>
      </c>
    </row>
    <row r="197" spans="1:18" x14ac:dyDescent="0.2">
      <c r="A197">
        <v>168</v>
      </c>
      <c r="B197" t="s">
        <v>113</v>
      </c>
      <c r="C197" t="s">
        <v>1074</v>
      </c>
      <c r="D197">
        <v>-0.81399999999999995</v>
      </c>
      <c r="E197">
        <v>9</v>
      </c>
      <c r="F197" t="s">
        <v>927</v>
      </c>
      <c r="G197" t="s">
        <v>64</v>
      </c>
      <c r="H197" t="s">
        <v>65</v>
      </c>
      <c r="I197" t="s">
        <v>165</v>
      </c>
      <c r="J197" t="s">
        <v>1075</v>
      </c>
      <c r="L197" t="s">
        <v>2412</v>
      </c>
      <c r="N197" t="str">
        <f t="shared" si="1"/>
        <v xml:space="preserve"> 0.9720</v>
      </c>
      <c r="Q197">
        <v>0.97199999999999998</v>
      </c>
      <c r="R197">
        <v>9</v>
      </c>
    </row>
    <row r="198" spans="1:18" x14ac:dyDescent="0.2">
      <c r="A198">
        <v>169</v>
      </c>
      <c r="B198" t="s">
        <v>57</v>
      </c>
      <c r="C198" t="s">
        <v>1076</v>
      </c>
      <c r="D198">
        <v>-0.34699999999999998</v>
      </c>
      <c r="E198">
        <v>7</v>
      </c>
      <c r="F198" t="s">
        <v>781</v>
      </c>
      <c r="G198" t="s">
        <v>64</v>
      </c>
      <c r="H198" t="s">
        <v>40</v>
      </c>
      <c r="I198" t="s">
        <v>165</v>
      </c>
      <c r="J198" t="s">
        <v>1077</v>
      </c>
      <c r="L198" t="s">
        <v>2413</v>
      </c>
      <c r="N198" t="str">
        <f t="shared" si="1"/>
        <v xml:space="preserve"> 1.1911</v>
      </c>
      <c r="Q198">
        <v>1.1911</v>
      </c>
      <c r="R198">
        <v>7</v>
      </c>
    </row>
    <row r="199" spans="1:18" x14ac:dyDescent="0.2">
      <c r="A199">
        <v>170</v>
      </c>
      <c r="B199" t="s">
        <v>94</v>
      </c>
      <c r="C199" t="s">
        <v>1078</v>
      </c>
      <c r="D199">
        <v>0.82</v>
      </c>
      <c r="E199">
        <v>4</v>
      </c>
      <c r="F199" t="s">
        <v>759</v>
      </c>
      <c r="G199" t="s">
        <v>64</v>
      </c>
      <c r="H199" t="s">
        <v>40</v>
      </c>
      <c r="I199" t="s">
        <v>165</v>
      </c>
      <c r="J199" t="s">
        <v>1079</v>
      </c>
      <c r="L199" t="s">
        <v>2414</v>
      </c>
      <c r="N199" t="str">
        <f t="shared" si="1"/>
        <v xml:space="preserve"> 1.2167</v>
      </c>
      <c r="Q199">
        <v>1.2166999999999999</v>
      </c>
      <c r="R199">
        <v>4</v>
      </c>
    </row>
    <row r="200" spans="1:18" x14ac:dyDescent="0.2">
      <c r="A200">
        <v>171</v>
      </c>
      <c r="B200" t="s">
        <v>118</v>
      </c>
      <c r="C200" t="s">
        <v>1080</v>
      </c>
      <c r="D200">
        <v>-0.52</v>
      </c>
      <c r="E200">
        <v>8</v>
      </c>
      <c r="F200" t="s">
        <v>882</v>
      </c>
      <c r="G200" t="s">
        <v>64</v>
      </c>
      <c r="H200" t="s">
        <v>40</v>
      </c>
      <c r="I200" t="s">
        <v>165</v>
      </c>
      <c r="J200" t="s">
        <v>1081</v>
      </c>
      <c r="L200" t="s">
        <v>2415</v>
      </c>
      <c r="N200" t="str">
        <f t="shared" si="1"/>
        <v xml:space="preserve"> 1.3261</v>
      </c>
      <c r="Q200">
        <v>1.3261000000000001</v>
      </c>
      <c r="R200">
        <v>8</v>
      </c>
    </row>
    <row r="201" spans="1:18" x14ac:dyDescent="0.2">
      <c r="A201">
        <v>172</v>
      </c>
      <c r="B201" t="s">
        <v>113</v>
      </c>
      <c r="C201" t="s">
        <v>1082</v>
      </c>
      <c r="D201">
        <v>-0.40100000000000002</v>
      </c>
      <c r="E201">
        <v>7</v>
      </c>
      <c r="F201" t="s">
        <v>912</v>
      </c>
      <c r="G201" t="s">
        <v>64</v>
      </c>
      <c r="H201" t="s">
        <v>40</v>
      </c>
      <c r="I201" t="s">
        <v>228</v>
      </c>
      <c r="J201" t="s">
        <v>1083</v>
      </c>
      <c r="L201" t="s">
        <v>2416</v>
      </c>
      <c r="N201" t="str">
        <f t="shared" si="1"/>
        <v xml:space="preserve"> 1.4047</v>
      </c>
      <c r="Q201">
        <v>1.4047000000000001</v>
      </c>
      <c r="R201">
        <v>7</v>
      </c>
    </row>
    <row r="202" spans="1:18" x14ac:dyDescent="0.2">
      <c r="A202">
        <v>173</v>
      </c>
      <c r="B202" t="s">
        <v>43</v>
      </c>
      <c r="C202" t="s">
        <v>1084</v>
      </c>
      <c r="D202">
        <v>-0.81100000000000005</v>
      </c>
      <c r="E202">
        <v>9</v>
      </c>
      <c r="F202" t="s">
        <v>927</v>
      </c>
      <c r="G202" t="s">
        <v>64</v>
      </c>
      <c r="H202" t="s">
        <v>65</v>
      </c>
      <c r="I202" t="s">
        <v>228</v>
      </c>
      <c r="J202" t="s">
        <v>1085</v>
      </c>
      <c r="L202" t="s">
        <v>2417</v>
      </c>
      <c r="N202" t="str">
        <f t="shared" si="1"/>
        <v xml:space="preserve"> 1.4025</v>
      </c>
      <c r="Q202">
        <v>1.4025000000000001</v>
      </c>
      <c r="R202">
        <v>9</v>
      </c>
    </row>
    <row r="203" spans="1:18" x14ac:dyDescent="0.2">
      <c r="A203">
        <v>174</v>
      </c>
      <c r="B203" t="s">
        <v>113</v>
      </c>
      <c r="C203" t="s">
        <v>1086</v>
      </c>
      <c r="D203">
        <v>-0.17899999999999999</v>
      </c>
      <c r="E203">
        <v>6</v>
      </c>
      <c r="F203" t="s">
        <v>720</v>
      </c>
      <c r="G203" t="s">
        <v>64</v>
      </c>
      <c r="H203" t="s">
        <v>40</v>
      </c>
      <c r="I203" t="s">
        <v>228</v>
      </c>
      <c r="J203" t="s">
        <v>1087</v>
      </c>
      <c r="L203" t="s">
        <v>2418</v>
      </c>
      <c r="N203" t="str">
        <f t="shared" si="1"/>
        <v xml:space="preserve"> 1.2111</v>
      </c>
      <c r="Q203">
        <v>1.2111000000000001</v>
      </c>
      <c r="R203">
        <v>6</v>
      </c>
    </row>
    <row r="204" spans="1:18" x14ac:dyDescent="0.2">
      <c r="A204">
        <v>175</v>
      </c>
      <c r="B204" t="s">
        <v>52</v>
      </c>
      <c r="C204" t="s">
        <v>1088</v>
      </c>
      <c r="D204">
        <v>-0.876</v>
      </c>
      <c r="E204">
        <v>9</v>
      </c>
      <c r="F204" t="s">
        <v>1045</v>
      </c>
      <c r="G204" t="s">
        <v>64</v>
      </c>
      <c r="H204" t="s">
        <v>65</v>
      </c>
      <c r="I204" t="s">
        <v>228</v>
      </c>
      <c r="J204" t="s">
        <v>1089</v>
      </c>
      <c r="L204" t="s">
        <v>2419</v>
      </c>
      <c r="N204" t="str">
        <f t="shared" si="1"/>
        <v xml:space="preserve"> 1.0978</v>
      </c>
      <c r="Q204">
        <v>1.0978000000000001</v>
      </c>
      <c r="R204">
        <v>9</v>
      </c>
    </row>
    <row r="205" spans="1:18" x14ac:dyDescent="0.2">
      <c r="A205">
        <v>176</v>
      </c>
      <c r="B205" t="s">
        <v>113</v>
      </c>
      <c r="C205" t="s">
        <v>1090</v>
      </c>
      <c r="D205">
        <v>-0.81499999999999995</v>
      </c>
      <c r="E205">
        <v>9</v>
      </c>
      <c r="F205" t="s">
        <v>927</v>
      </c>
      <c r="G205" t="s">
        <v>64</v>
      </c>
      <c r="H205" t="s">
        <v>65</v>
      </c>
      <c r="I205" t="s">
        <v>228</v>
      </c>
      <c r="J205" t="s">
        <v>1091</v>
      </c>
      <c r="L205" t="s">
        <v>2420</v>
      </c>
      <c r="N205" t="str">
        <f t="shared" si="1"/>
        <v xml:space="preserve"> 0.9750</v>
      </c>
      <c r="Q205">
        <v>0.97499999999999998</v>
      </c>
      <c r="R205">
        <v>9</v>
      </c>
    </row>
    <row r="206" spans="1:18" x14ac:dyDescent="0.2">
      <c r="A206">
        <v>177</v>
      </c>
      <c r="B206" t="s">
        <v>30</v>
      </c>
      <c r="C206" t="s">
        <v>1092</v>
      </c>
      <c r="D206">
        <v>-0.873</v>
      </c>
      <c r="E206">
        <v>9</v>
      </c>
      <c r="F206" t="s">
        <v>1045</v>
      </c>
      <c r="G206" t="s">
        <v>64</v>
      </c>
      <c r="H206" t="s">
        <v>65</v>
      </c>
      <c r="I206" t="s">
        <v>228</v>
      </c>
      <c r="J206" t="s">
        <v>1093</v>
      </c>
      <c r="L206" t="s">
        <v>2421</v>
      </c>
      <c r="N206" t="str">
        <f t="shared" si="1"/>
        <v xml:space="preserve"> 1.2058</v>
      </c>
      <c r="Q206">
        <v>1.2058</v>
      </c>
      <c r="R206">
        <v>9</v>
      </c>
    </row>
    <row r="207" spans="1:18" x14ac:dyDescent="0.2">
      <c r="A207">
        <v>178</v>
      </c>
      <c r="B207" t="s">
        <v>52</v>
      </c>
      <c r="C207" t="s">
        <v>1094</v>
      </c>
      <c r="D207">
        <v>-0.83199999999999996</v>
      </c>
      <c r="E207">
        <v>9</v>
      </c>
      <c r="F207" t="s">
        <v>1095</v>
      </c>
      <c r="G207" t="s">
        <v>64</v>
      </c>
      <c r="H207" t="s">
        <v>65</v>
      </c>
      <c r="I207" t="s">
        <v>228</v>
      </c>
      <c r="J207" t="s">
        <v>1096</v>
      </c>
      <c r="L207" t="s">
        <v>2422</v>
      </c>
      <c r="N207" t="str">
        <f t="shared" si="1"/>
        <v xml:space="preserve"> 1.1489</v>
      </c>
      <c r="Q207">
        <v>1.1489</v>
      </c>
      <c r="R207">
        <v>9</v>
      </c>
    </row>
    <row r="208" spans="1:18" x14ac:dyDescent="0.2">
      <c r="A208">
        <v>179</v>
      </c>
      <c r="B208" t="s">
        <v>97</v>
      </c>
      <c r="C208" t="s">
        <v>1097</v>
      </c>
      <c r="D208">
        <v>-0.91800000000000004</v>
      </c>
      <c r="E208">
        <v>9</v>
      </c>
      <c r="F208" t="s">
        <v>888</v>
      </c>
      <c r="G208" t="s">
        <v>33</v>
      </c>
      <c r="H208" t="s">
        <v>34</v>
      </c>
      <c r="I208" t="s">
        <v>228</v>
      </c>
      <c r="J208" t="s">
        <v>899</v>
      </c>
      <c r="L208" t="s">
        <v>2423</v>
      </c>
      <c r="N208" t="str">
        <f t="shared" si="1"/>
        <v xml:space="preserve"> 1.3001</v>
      </c>
      <c r="Q208">
        <v>1.3001</v>
      </c>
      <c r="R208">
        <v>9</v>
      </c>
    </row>
    <row r="209" spans="1:18" x14ac:dyDescent="0.2">
      <c r="A209">
        <v>180</v>
      </c>
      <c r="B209" t="s">
        <v>43</v>
      </c>
      <c r="C209" t="s">
        <v>1098</v>
      </c>
      <c r="D209">
        <v>-0.64500000000000002</v>
      </c>
      <c r="E209">
        <v>8</v>
      </c>
      <c r="F209" t="s">
        <v>755</v>
      </c>
      <c r="G209" t="s">
        <v>33</v>
      </c>
      <c r="H209" t="s">
        <v>34</v>
      </c>
      <c r="I209" t="s">
        <v>228</v>
      </c>
      <c r="J209" t="s">
        <v>715</v>
      </c>
      <c r="L209" t="s">
        <v>2424</v>
      </c>
      <c r="N209" t="str">
        <f t="shared" si="1"/>
        <v xml:space="preserve"> 1.3729</v>
      </c>
      <c r="Q209">
        <v>1.3729</v>
      </c>
      <c r="R209">
        <v>8</v>
      </c>
    </row>
    <row r="210" spans="1:18" x14ac:dyDescent="0.2">
      <c r="A210">
        <v>181</v>
      </c>
      <c r="B210" t="s">
        <v>118</v>
      </c>
      <c r="C210" t="s">
        <v>1099</v>
      </c>
      <c r="D210">
        <v>-0.82799999999999996</v>
      </c>
      <c r="E210">
        <v>9</v>
      </c>
      <c r="F210" t="s">
        <v>1100</v>
      </c>
      <c r="G210" t="s">
        <v>64</v>
      </c>
      <c r="H210" t="s">
        <v>65</v>
      </c>
      <c r="I210" t="s">
        <v>228</v>
      </c>
      <c r="J210" t="s">
        <v>1101</v>
      </c>
      <c r="L210" t="s">
        <v>2425</v>
      </c>
      <c r="N210" t="str">
        <f t="shared" si="1"/>
        <v xml:space="preserve"> 1.3415</v>
      </c>
      <c r="Q210">
        <v>1.3414999999999999</v>
      </c>
      <c r="R210">
        <v>9</v>
      </c>
    </row>
    <row r="211" spans="1:18" x14ac:dyDescent="0.2">
      <c r="A211">
        <v>182</v>
      </c>
      <c r="B211" t="s">
        <v>37</v>
      </c>
      <c r="C211" t="s">
        <v>1102</v>
      </c>
      <c r="D211">
        <v>-0.85299999999999998</v>
      </c>
      <c r="E211">
        <v>9</v>
      </c>
      <c r="F211" t="s">
        <v>1059</v>
      </c>
      <c r="G211" t="s">
        <v>33</v>
      </c>
      <c r="H211" t="s">
        <v>34</v>
      </c>
      <c r="I211" t="s">
        <v>228</v>
      </c>
      <c r="J211" t="s">
        <v>1103</v>
      </c>
      <c r="L211" t="s">
        <v>2426</v>
      </c>
      <c r="N211" t="str">
        <f t="shared" si="1"/>
        <v xml:space="preserve"> 1.2484</v>
      </c>
      <c r="Q211">
        <v>1.2484</v>
      </c>
      <c r="R211">
        <v>9</v>
      </c>
    </row>
    <row r="212" spans="1:18" x14ac:dyDescent="0.2">
      <c r="A212">
        <v>183</v>
      </c>
      <c r="B212" t="s">
        <v>118</v>
      </c>
      <c r="C212" t="s">
        <v>1104</v>
      </c>
      <c r="D212">
        <v>-0.39300000000000002</v>
      </c>
      <c r="E212">
        <v>7</v>
      </c>
      <c r="F212" t="s">
        <v>912</v>
      </c>
      <c r="G212" t="s">
        <v>64</v>
      </c>
      <c r="H212" t="s">
        <v>40</v>
      </c>
      <c r="I212" t="s">
        <v>228</v>
      </c>
      <c r="J212" t="s">
        <v>1105</v>
      </c>
      <c r="L212" t="s">
        <v>2427</v>
      </c>
      <c r="N212" t="str">
        <f t="shared" si="1"/>
        <v xml:space="preserve"> 2.8054</v>
      </c>
      <c r="Q212">
        <v>2.8054000000000001</v>
      </c>
      <c r="R212">
        <v>7</v>
      </c>
    </row>
    <row r="213" spans="1:18" x14ac:dyDescent="0.2">
      <c r="A213">
        <v>184</v>
      </c>
      <c r="B213" t="s">
        <v>94</v>
      </c>
      <c r="C213" t="s">
        <v>1106</v>
      </c>
      <c r="D213">
        <v>-0.63</v>
      </c>
      <c r="E213">
        <v>8</v>
      </c>
      <c r="F213" t="s">
        <v>906</v>
      </c>
      <c r="G213" t="s">
        <v>64</v>
      </c>
      <c r="H213" t="s">
        <v>40</v>
      </c>
      <c r="I213" t="s">
        <v>228</v>
      </c>
      <c r="J213" t="s">
        <v>1107</v>
      </c>
      <c r="L213" t="s">
        <v>2428</v>
      </c>
      <c r="N213" t="str">
        <f t="shared" si="1"/>
        <v xml:space="preserve"> 2.6505</v>
      </c>
      <c r="Q213">
        <v>2.6505000000000001</v>
      </c>
      <c r="R213">
        <v>8</v>
      </c>
    </row>
    <row r="214" spans="1:18" x14ac:dyDescent="0.2">
      <c r="A214">
        <v>185</v>
      </c>
      <c r="B214" t="s">
        <v>118</v>
      </c>
      <c r="C214" t="s">
        <v>1108</v>
      </c>
      <c r="D214">
        <v>-0.77500000000000002</v>
      </c>
      <c r="E214">
        <v>9</v>
      </c>
      <c r="F214" t="s">
        <v>1109</v>
      </c>
      <c r="G214" t="s">
        <v>64</v>
      </c>
      <c r="H214" t="s">
        <v>65</v>
      </c>
      <c r="I214" t="s">
        <v>228</v>
      </c>
      <c r="J214" t="s">
        <v>1110</v>
      </c>
      <c r="L214" t="s">
        <v>2429</v>
      </c>
      <c r="N214" t="str">
        <f t="shared" si="1"/>
        <v xml:space="preserve"> 1.9035</v>
      </c>
      <c r="Q214">
        <v>1.9035</v>
      </c>
      <c r="R214">
        <v>9</v>
      </c>
    </row>
    <row r="215" spans="1:18" x14ac:dyDescent="0.2">
      <c r="A215">
        <v>186</v>
      </c>
      <c r="B215" t="s">
        <v>118</v>
      </c>
      <c r="C215" t="s">
        <v>1111</v>
      </c>
      <c r="D215">
        <v>-0.92300000000000004</v>
      </c>
      <c r="E215">
        <v>9</v>
      </c>
      <c r="F215" t="s">
        <v>888</v>
      </c>
      <c r="G215" t="s">
        <v>64</v>
      </c>
      <c r="H215" t="s">
        <v>65</v>
      </c>
      <c r="I215" t="s">
        <v>228</v>
      </c>
      <c r="J215" t="s">
        <v>1112</v>
      </c>
      <c r="L215" t="s">
        <v>2430</v>
      </c>
      <c r="N215" t="str">
        <f t="shared" si="1"/>
        <v xml:space="preserve"> 2.6381</v>
      </c>
      <c r="Q215">
        <v>2.6381000000000001</v>
      </c>
      <c r="R215">
        <v>9</v>
      </c>
    </row>
    <row r="216" spans="1:18" x14ac:dyDescent="0.2">
      <c r="A216">
        <v>187</v>
      </c>
      <c r="B216" t="s">
        <v>43</v>
      </c>
      <c r="C216" t="s">
        <v>1113</v>
      </c>
      <c r="D216">
        <v>-0.17499999999999999</v>
      </c>
      <c r="E216">
        <v>6</v>
      </c>
      <c r="F216" t="s">
        <v>720</v>
      </c>
      <c r="G216" t="s">
        <v>64</v>
      </c>
      <c r="H216" t="s">
        <v>40</v>
      </c>
      <c r="I216" t="s">
        <v>228</v>
      </c>
      <c r="J216" t="s">
        <v>1114</v>
      </c>
      <c r="L216" t="s">
        <v>2431</v>
      </c>
      <c r="N216" t="str">
        <f t="shared" si="1"/>
        <v xml:space="preserve"> 2.6071</v>
      </c>
      <c r="Q216">
        <v>2.6071</v>
      </c>
      <c r="R216">
        <v>6</v>
      </c>
    </row>
    <row r="217" spans="1:18" x14ac:dyDescent="0.2">
      <c r="A217">
        <v>188</v>
      </c>
      <c r="B217" t="s">
        <v>94</v>
      </c>
      <c r="C217" t="s">
        <v>1115</v>
      </c>
      <c r="D217">
        <v>-0.72</v>
      </c>
      <c r="E217">
        <v>8</v>
      </c>
      <c r="F217" t="s">
        <v>1062</v>
      </c>
      <c r="G217" t="s">
        <v>64</v>
      </c>
      <c r="H217" t="s">
        <v>40</v>
      </c>
      <c r="I217" t="s">
        <v>228</v>
      </c>
      <c r="J217" t="s">
        <v>1116</v>
      </c>
      <c r="L217" t="s">
        <v>2432</v>
      </c>
      <c r="N217" t="str">
        <f t="shared" si="1"/>
        <v xml:space="preserve"> 2.6928</v>
      </c>
      <c r="Q217">
        <v>2.6928000000000001</v>
      </c>
      <c r="R217">
        <v>8</v>
      </c>
    </row>
    <row r="218" spans="1:18" x14ac:dyDescent="0.2">
      <c r="A218">
        <v>189</v>
      </c>
      <c r="B218" t="s">
        <v>118</v>
      </c>
      <c r="C218" t="s">
        <v>1117</v>
      </c>
      <c r="D218">
        <v>-0.63</v>
      </c>
      <c r="E218">
        <v>8</v>
      </c>
      <c r="F218" t="s">
        <v>909</v>
      </c>
      <c r="G218" t="s">
        <v>64</v>
      </c>
      <c r="H218" t="s">
        <v>40</v>
      </c>
      <c r="I218" t="s">
        <v>228</v>
      </c>
      <c r="J218" t="s">
        <v>1118</v>
      </c>
      <c r="L218" t="s">
        <v>2433</v>
      </c>
      <c r="N218" t="str">
        <f t="shared" si="1"/>
        <v xml:space="preserve"> 2.1778</v>
      </c>
      <c r="Q218">
        <v>2.1778</v>
      </c>
      <c r="R218">
        <v>8</v>
      </c>
    </row>
    <row r="219" spans="1:18" x14ac:dyDescent="0.2">
      <c r="A219">
        <v>190</v>
      </c>
      <c r="B219" t="s">
        <v>113</v>
      </c>
      <c r="C219" t="s">
        <v>1119</v>
      </c>
      <c r="D219">
        <v>-0.64300000000000002</v>
      </c>
      <c r="E219">
        <v>8</v>
      </c>
      <c r="F219" t="s">
        <v>755</v>
      </c>
      <c r="G219" t="s">
        <v>64</v>
      </c>
      <c r="H219" t="s">
        <v>40</v>
      </c>
      <c r="I219" t="s">
        <v>228</v>
      </c>
      <c r="J219" t="s">
        <v>1120</v>
      </c>
      <c r="L219" t="s">
        <v>2434</v>
      </c>
      <c r="N219" t="str">
        <f t="shared" si="1"/>
        <v xml:space="preserve"> 2.8493</v>
      </c>
      <c r="Q219">
        <v>2.8492999999999999</v>
      </c>
      <c r="R219">
        <v>8</v>
      </c>
    </row>
    <row r="220" spans="1:18" x14ac:dyDescent="0.2">
      <c r="A220">
        <v>191</v>
      </c>
      <c r="B220" t="s">
        <v>101</v>
      </c>
      <c r="C220" t="s">
        <v>1121</v>
      </c>
      <c r="D220">
        <v>-0.90400000000000003</v>
      </c>
      <c r="E220">
        <v>9</v>
      </c>
      <c r="F220" t="s">
        <v>717</v>
      </c>
      <c r="G220" t="s">
        <v>64</v>
      </c>
      <c r="H220" t="s">
        <v>65</v>
      </c>
      <c r="I220" t="s">
        <v>228</v>
      </c>
      <c r="J220" t="s">
        <v>997</v>
      </c>
      <c r="L220" t="s">
        <v>2435</v>
      </c>
      <c r="N220" t="str">
        <f t="shared" si="1"/>
        <v xml:space="preserve"> 3.1658</v>
      </c>
      <c r="Q220">
        <v>3.1657999999999999</v>
      </c>
      <c r="R220">
        <v>9</v>
      </c>
    </row>
    <row r="221" spans="1:18" x14ac:dyDescent="0.2">
      <c r="A221">
        <v>192</v>
      </c>
      <c r="B221" t="s">
        <v>156</v>
      </c>
      <c r="C221" t="s">
        <v>540</v>
      </c>
      <c r="D221">
        <v>-0.84499999999999997</v>
      </c>
      <c r="E221">
        <v>9</v>
      </c>
      <c r="F221" t="s">
        <v>1095</v>
      </c>
      <c r="G221" t="s">
        <v>33</v>
      </c>
      <c r="H221" t="s">
        <v>34</v>
      </c>
      <c r="I221" t="s">
        <v>228</v>
      </c>
      <c r="J221" t="s">
        <v>1122</v>
      </c>
      <c r="L221" t="s">
        <v>2436</v>
      </c>
      <c r="N221" t="str">
        <f t="shared" si="1"/>
        <v xml:space="preserve"> 2.9118</v>
      </c>
      <c r="Q221">
        <v>2.9117999999999999</v>
      </c>
      <c r="R221">
        <v>9</v>
      </c>
    </row>
    <row r="222" spans="1:18" x14ac:dyDescent="0.2">
      <c r="A222">
        <v>193</v>
      </c>
      <c r="B222" t="s">
        <v>52</v>
      </c>
      <c r="C222" t="s">
        <v>1123</v>
      </c>
      <c r="D222">
        <v>-0.92300000000000004</v>
      </c>
      <c r="E222">
        <v>9</v>
      </c>
      <c r="F222" t="s">
        <v>888</v>
      </c>
      <c r="G222" t="s">
        <v>64</v>
      </c>
      <c r="H222" t="s">
        <v>65</v>
      </c>
      <c r="I222" t="s">
        <v>228</v>
      </c>
      <c r="J222" t="s">
        <v>718</v>
      </c>
      <c r="L222" t="s">
        <v>2437</v>
      </c>
      <c r="N222" t="str">
        <f t="shared" si="1"/>
        <v xml:space="preserve"> 3.3506</v>
      </c>
      <c r="Q222">
        <v>3.3506</v>
      </c>
      <c r="R222">
        <v>9</v>
      </c>
    </row>
    <row r="223" spans="1:18" x14ac:dyDescent="0.2">
      <c r="A223">
        <v>194</v>
      </c>
      <c r="B223" t="s">
        <v>37</v>
      </c>
      <c r="C223" t="s">
        <v>1124</v>
      </c>
      <c r="D223">
        <v>-0.73399999999999999</v>
      </c>
      <c r="E223">
        <v>9</v>
      </c>
      <c r="F223" t="s">
        <v>1038</v>
      </c>
      <c r="G223" t="s">
        <v>33</v>
      </c>
      <c r="H223" t="s">
        <v>34</v>
      </c>
      <c r="I223" t="s">
        <v>228</v>
      </c>
      <c r="J223" t="s">
        <v>1125</v>
      </c>
      <c r="L223" t="s">
        <v>2438</v>
      </c>
      <c r="N223" t="str">
        <f t="shared" si="1"/>
        <v xml:space="preserve"> 4.9982</v>
      </c>
      <c r="Q223">
        <v>4.9981999999999998</v>
      </c>
      <c r="R223">
        <v>9</v>
      </c>
    </row>
    <row r="224" spans="1:18" x14ac:dyDescent="0.2">
      <c r="A224">
        <v>195</v>
      </c>
      <c r="B224" t="s">
        <v>74</v>
      </c>
      <c r="C224" t="s">
        <v>1126</v>
      </c>
      <c r="D224">
        <v>-8.2000000000000003E-2</v>
      </c>
      <c r="E224">
        <v>5</v>
      </c>
      <c r="F224" t="s">
        <v>701</v>
      </c>
      <c r="G224" t="s">
        <v>33</v>
      </c>
      <c r="H224" t="s">
        <v>40</v>
      </c>
      <c r="I224" t="s">
        <v>228</v>
      </c>
      <c r="J224" t="s">
        <v>1127</v>
      </c>
      <c r="L224" t="s">
        <v>2439</v>
      </c>
      <c r="N224" t="str">
        <f t="shared" si="1"/>
        <v xml:space="preserve"> 4.4456</v>
      </c>
      <c r="Q224">
        <v>4.4455999999999998</v>
      </c>
      <c r="R224">
        <v>5</v>
      </c>
    </row>
    <row r="225" spans="1:18" x14ac:dyDescent="0.2">
      <c r="A225">
        <v>196</v>
      </c>
      <c r="B225" t="s">
        <v>97</v>
      </c>
      <c r="C225" t="s">
        <v>1128</v>
      </c>
      <c r="D225">
        <v>-0.749</v>
      </c>
      <c r="E225">
        <v>9</v>
      </c>
      <c r="F225" t="s">
        <v>1038</v>
      </c>
      <c r="G225" t="s">
        <v>33</v>
      </c>
      <c r="H225" t="s">
        <v>34</v>
      </c>
      <c r="I225" t="s">
        <v>228</v>
      </c>
      <c r="J225" t="s">
        <v>1129</v>
      </c>
      <c r="L225" t="s">
        <v>2440</v>
      </c>
      <c r="N225" t="str">
        <f t="shared" si="1"/>
        <v xml:space="preserve"> 2.6249</v>
      </c>
      <c r="Q225">
        <v>2.6248999999999998</v>
      </c>
      <c r="R225">
        <v>9</v>
      </c>
    </row>
    <row r="226" spans="1:18" x14ac:dyDescent="0.2">
      <c r="A226">
        <v>197</v>
      </c>
      <c r="B226" t="s">
        <v>30</v>
      </c>
      <c r="C226" t="s">
        <v>1130</v>
      </c>
      <c r="D226">
        <v>-0.54900000000000004</v>
      </c>
      <c r="E226">
        <v>8</v>
      </c>
      <c r="F226" t="s">
        <v>924</v>
      </c>
      <c r="G226" t="s">
        <v>64</v>
      </c>
      <c r="H226" t="s">
        <v>40</v>
      </c>
      <c r="I226" t="s">
        <v>228</v>
      </c>
      <c r="J226" t="s">
        <v>1131</v>
      </c>
      <c r="L226" t="s">
        <v>2441</v>
      </c>
      <c r="N226" t="str">
        <f t="shared" si="1"/>
        <v xml:space="preserve"> 2.0404</v>
      </c>
      <c r="Q226">
        <v>2.0404</v>
      </c>
      <c r="R226">
        <v>8</v>
      </c>
    </row>
    <row r="227" spans="1:18" x14ac:dyDescent="0.2">
      <c r="A227">
        <v>198</v>
      </c>
      <c r="B227" t="s">
        <v>233</v>
      </c>
      <c r="C227" t="s">
        <v>1132</v>
      </c>
      <c r="D227">
        <v>-0.89100000000000001</v>
      </c>
      <c r="E227">
        <v>9</v>
      </c>
      <c r="F227" t="s">
        <v>675</v>
      </c>
      <c r="G227" t="s">
        <v>64</v>
      </c>
      <c r="H227" t="s">
        <v>65</v>
      </c>
      <c r="I227" t="s">
        <v>228</v>
      </c>
      <c r="J227" t="s">
        <v>236</v>
      </c>
      <c r="L227" t="s">
        <v>2442</v>
      </c>
      <c r="N227" t="str">
        <f t="shared" si="1"/>
        <v xml:space="preserve"> 2.8236</v>
      </c>
      <c r="Q227">
        <v>2.8235999999999999</v>
      </c>
      <c r="R227">
        <v>9</v>
      </c>
    </row>
    <row r="228" spans="1:18" x14ac:dyDescent="0.2">
      <c r="A228">
        <v>199</v>
      </c>
      <c r="B228" t="s">
        <v>113</v>
      </c>
      <c r="C228" t="s">
        <v>1133</v>
      </c>
      <c r="D228">
        <v>2.7E-2</v>
      </c>
      <c r="E228">
        <v>5</v>
      </c>
      <c r="F228" t="s">
        <v>696</v>
      </c>
      <c r="G228" t="s">
        <v>64</v>
      </c>
      <c r="H228" t="s">
        <v>40</v>
      </c>
      <c r="I228" t="s">
        <v>228</v>
      </c>
      <c r="J228" t="s">
        <v>1134</v>
      </c>
      <c r="L228" t="s">
        <v>2443</v>
      </c>
      <c r="N228" t="str">
        <f t="shared" si="1"/>
        <v xml:space="preserve"> 3.9170</v>
      </c>
      <c r="Q228">
        <v>3.9169999999999998</v>
      </c>
      <c r="R228">
        <v>5</v>
      </c>
    </row>
    <row r="229" spans="1:18" x14ac:dyDescent="0.2">
      <c r="A229">
        <v>200</v>
      </c>
      <c r="B229" t="s">
        <v>156</v>
      </c>
      <c r="C229" t="s">
        <v>1135</v>
      </c>
      <c r="D229">
        <v>-0.63100000000000001</v>
      </c>
      <c r="E229">
        <v>8</v>
      </c>
      <c r="F229" t="s">
        <v>909</v>
      </c>
      <c r="G229" t="s">
        <v>33</v>
      </c>
      <c r="H229" t="s">
        <v>34</v>
      </c>
      <c r="I229" t="s">
        <v>228</v>
      </c>
      <c r="J229" t="s">
        <v>1136</v>
      </c>
      <c r="L229" t="s">
        <v>2444</v>
      </c>
      <c r="N229" t="str">
        <f t="shared" si="1"/>
        <v xml:space="preserve"> 1.0022</v>
      </c>
      <c r="Q229">
        <v>1.0022</v>
      </c>
      <c r="R229">
        <v>8</v>
      </c>
    </row>
    <row r="230" spans="1:18" x14ac:dyDescent="0.2">
      <c r="A230">
        <v>201</v>
      </c>
      <c r="B230" t="s">
        <v>97</v>
      </c>
      <c r="C230" t="s">
        <v>1137</v>
      </c>
      <c r="D230">
        <v>0.23300000000000001</v>
      </c>
      <c r="E230">
        <v>5</v>
      </c>
      <c r="F230" t="s">
        <v>783</v>
      </c>
      <c r="G230" t="s">
        <v>33</v>
      </c>
      <c r="H230" t="s">
        <v>40</v>
      </c>
      <c r="I230" t="s">
        <v>228</v>
      </c>
      <c r="J230" t="s">
        <v>1138</v>
      </c>
      <c r="L230" t="s">
        <v>2445</v>
      </c>
      <c r="N230" t="str">
        <f t="shared" si="1"/>
        <v xml:space="preserve"> 4.4704</v>
      </c>
      <c r="Q230">
        <v>4.4703999999999997</v>
      </c>
      <c r="R230">
        <v>5</v>
      </c>
    </row>
    <row r="231" spans="1:18" x14ac:dyDescent="0.2">
      <c r="A231">
        <v>202</v>
      </c>
      <c r="B231" t="s">
        <v>156</v>
      </c>
      <c r="C231" t="s">
        <v>1139</v>
      </c>
      <c r="D231">
        <v>-0.38400000000000001</v>
      </c>
      <c r="E231">
        <v>7</v>
      </c>
      <c r="F231" t="s">
        <v>1140</v>
      </c>
      <c r="G231" t="s">
        <v>33</v>
      </c>
      <c r="H231" t="s">
        <v>40</v>
      </c>
      <c r="I231" t="s">
        <v>228</v>
      </c>
      <c r="J231" t="s">
        <v>1141</v>
      </c>
      <c r="L231" t="s">
        <v>2446</v>
      </c>
      <c r="N231" t="str">
        <f t="shared" si="1"/>
        <v xml:space="preserve"> 4.7215</v>
      </c>
      <c r="Q231">
        <v>4.7214999999999998</v>
      </c>
      <c r="R231">
        <v>7</v>
      </c>
    </row>
    <row r="232" spans="1:18" x14ac:dyDescent="0.2">
      <c r="A232">
        <v>203</v>
      </c>
      <c r="B232" t="s">
        <v>194</v>
      </c>
      <c r="C232" t="s">
        <v>1142</v>
      </c>
      <c r="D232">
        <v>0.128</v>
      </c>
      <c r="E232">
        <v>5</v>
      </c>
      <c r="F232" t="s">
        <v>1143</v>
      </c>
      <c r="G232" t="s">
        <v>33</v>
      </c>
      <c r="H232" t="s">
        <v>40</v>
      </c>
      <c r="I232" t="s">
        <v>228</v>
      </c>
      <c r="J232" t="s">
        <v>1144</v>
      </c>
      <c r="L232" t="s">
        <v>2447</v>
      </c>
      <c r="N232" t="str">
        <f t="shared" si="1"/>
        <v xml:space="preserve"> 3.8634</v>
      </c>
      <c r="Q232">
        <v>3.8633999999999999</v>
      </c>
      <c r="R232">
        <v>5</v>
      </c>
    </row>
    <row r="233" spans="1:18" x14ac:dyDescent="0.2">
      <c r="A233">
        <v>204</v>
      </c>
      <c r="B233" t="s">
        <v>74</v>
      </c>
      <c r="C233" t="s">
        <v>1145</v>
      </c>
      <c r="D233">
        <v>-0.55100000000000005</v>
      </c>
      <c r="E233">
        <v>8</v>
      </c>
      <c r="F233" t="s">
        <v>924</v>
      </c>
      <c r="G233" t="s">
        <v>33</v>
      </c>
      <c r="H233" t="s">
        <v>34</v>
      </c>
      <c r="I233" t="s">
        <v>228</v>
      </c>
      <c r="J233" t="s">
        <v>1146</v>
      </c>
      <c r="L233" t="s">
        <v>2448</v>
      </c>
      <c r="N233" t="str">
        <f t="shared" si="1"/>
        <v xml:space="preserve"> 5.4015</v>
      </c>
      <c r="Q233">
        <v>5.4015000000000004</v>
      </c>
      <c r="R233">
        <v>8</v>
      </c>
    </row>
    <row r="234" spans="1:18" x14ac:dyDescent="0.2">
      <c r="A234">
        <v>205</v>
      </c>
      <c r="B234" t="s">
        <v>43</v>
      </c>
      <c r="C234" t="s">
        <v>1147</v>
      </c>
      <c r="D234">
        <v>-0.56599999999999995</v>
      </c>
      <c r="E234">
        <v>8</v>
      </c>
      <c r="F234" t="s">
        <v>1148</v>
      </c>
      <c r="G234" t="s">
        <v>33</v>
      </c>
      <c r="H234" t="s">
        <v>34</v>
      </c>
      <c r="I234" t="s">
        <v>228</v>
      </c>
      <c r="J234" t="s">
        <v>1149</v>
      </c>
      <c r="L234" t="s">
        <v>2449</v>
      </c>
      <c r="N234" t="str">
        <f t="shared" si="1"/>
        <v xml:space="preserve"> 0.9197</v>
      </c>
      <c r="Q234">
        <v>0.91969999999999996</v>
      </c>
      <c r="R234">
        <v>8</v>
      </c>
    </row>
    <row r="235" spans="1:18" x14ac:dyDescent="0.2">
      <c r="A235">
        <v>206</v>
      </c>
      <c r="B235" t="s">
        <v>30</v>
      </c>
      <c r="C235" t="s">
        <v>1150</v>
      </c>
      <c r="D235">
        <v>-0.63</v>
      </c>
      <c r="E235">
        <v>8</v>
      </c>
      <c r="F235" t="s">
        <v>906</v>
      </c>
      <c r="G235" t="s">
        <v>64</v>
      </c>
      <c r="H235" t="s">
        <v>40</v>
      </c>
      <c r="I235" t="s">
        <v>165</v>
      </c>
      <c r="J235" t="s">
        <v>1151</v>
      </c>
      <c r="L235" t="s">
        <v>2450</v>
      </c>
      <c r="N235" t="str">
        <f t="shared" si="1"/>
        <v xml:space="preserve"> 1.7351</v>
      </c>
      <c r="Q235">
        <v>1.7351000000000001</v>
      </c>
      <c r="R235">
        <v>8</v>
      </c>
    </row>
    <row r="236" spans="1:18" x14ac:dyDescent="0.2">
      <c r="A236">
        <v>207</v>
      </c>
      <c r="B236" t="s">
        <v>113</v>
      </c>
      <c r="C236" t="s">
        <v>1152</v>
      </c>
      <c r="D236">
        <v>-0.81499999999999995</v>
      </c>
      <c r="E236">
        <v>9</v>
      </c>
      <c r="F236" t="s">
        <v>927</v>
      </c>
      <c r="G236" t="s">
        <v>64</v>
      </c>
      <c r="H236" t="s">
        <v>65</v>
      </c>
      <c r="I236" t="s">
        <v>165</v>
      </c>
      <c r="J236" t="s">
        <v>1153</v>
      </c>
      <c r="L236" t="s">
        <v>2451</v>
      </c>
      <c r="N236" t="str">
        <f t="shared" si="1"/>
        <v xml:space="preserve"> 1.5380</v>
      </c>
      <c r="Q236">
        <v>1.538</v>
      </c>
      <c r="R236">
        <v>9</v>
      </c>
    </row>
    <row r="237" spans="1:18" x14ac:dyDescent="0.2">
      <c r="A237">
        <v>208</v>
      </c>
      <c r="B237" t="s">
        <v>43</v>
      </c>
      <c r="C237" t="s">
        <v>1154</v>
      </c>
      <c r="D237">
        <v>-0.89800000000000002</v>
      </c>
      <c r="E237">
        <v>9</v>
      </c>
      <c r="F237" t="s">
        <v>675</v>
      </c>
      <c r="G237" t="s">
        <v>64</v>
      </c>
      <c r="H237" t="s">
        <v>65</v>
      </c>
      <c r="I237" t="s">
        <v>165</v>
      </c>
      <c r="J237" t="s">
        <v>894</v>
      </c>
      <c r="L237" t="s">
        <v>2452</v>
      </c>
      <c r="N237" t="str">
        <f t="shared" ref="N237:N261" si="2">RIGHT((LEFT(L237,10)),7)</f>
        <v xml:space="preserve"> 1.4984</v>
      </c>
      <c r="Q237">
        <v>1.4984</v>
      </c>
      <c r="R237">
        <v>9</v>
      </c>
    </row>
    <row r="238" spans="1:18" x14ac:dyDescent="0.2">
      <c r="A238">
        <v>209</v>
      </c>
      <c r="B238" t="s">
        <v>113</v>
      </c>
      <c r="C238" t="s">
        <v>1155</v>
      </c>
      <c r="D238">
        <v>-0.34699999999999998</v>
      </c>
      <c r="E238">
        <v>7</v>
      </c>
      <c r="F238" t="s">
        <v>901</v>
      </c>
      <c r="G238" t="s">
        <v>64</v>
      </c>
      <c r="H238" t="s">
        <v>40</v>
      </c>
      <c r="I238" t="s">
        <v>165</v>
      </c>
      <c r="J238" t="s">
        <v>1156</v>
      </c>
      <c r="L238" t="s">
        <v>2453</v>
      </c>
      <c r="N238" t="str">
        <f t="shared" si="2"/>
        <v xml:space="preserve"> 1.1971</v>
      </c>
      <c r="Q238">
        <v>1.1971000000000001</v>
      </c>
      <c r="R238">
        <v>7</v>
      </c>
    </row>
    <row r="239" spans="1:18" x14ac:dyDescent="0.2">
      <c r="A239">
        <v>210</v>
      </c>
      <c r="B239" t="s">
        <v>142</v>
      </c>
      <c r="C239" t="s">
        <v>1157</v>
      </c>
      <c r="D239">
        <v>-0.03</v>
      </c>
      <c r="E239">
        <v>5</v>
      </c>
      <c r="F239" t="s">
        <v>701</v>
      </c>
      <c r="G239" t="s">
        <v>64</v>
      </c>
      <c r="H239" t="s">
        <v>40</v>
      </c>
      <c r="I239" t="s">
        <v>165</v>
      </c>
      <c r="J239" t="s">
        <v>1158</v>
      </c>
      <c r="L239" t="s">
        <v>2454</v>
      </c>
      <c r="N239" t="str">
        <f t="shared" si="2"/>
        <v xml:space="preserve"> 1.2130</v>
      </c>
      <c r="Q239">
        <v>1.2130000000000001</v>
      </c>
      <c r="R239">
        <v>5</v>
      </c>
    </row>
    <row r="240" spans="1:18" x14ac:dyDescent="0.2">
      <c r="A240">
        <v>211</v>
      </c>
      <c r="B240" t="s">
        <v>118</v>
      </c>
      <c r="C240" t="s">
        <v>1159</v>
      </c>
      <c r="D240">
        <v>-0.73</v>
      </c>
      <c r="E240">
        <v>9</v>
      </c>
      <c r="F240" t="s">
        <v>1160</v>
      </c>
      <c r="G240" t="s">
        <v>64</v>
      </c>
      <c r="H240" t="s">
        <v>65</v>
      </c>
      <c r="I240" t="s">
        <v>228</v>
      </c>
      <c r="J240" t="s">
        <v>1161</v>
      </c>
      <c r="L240" t="s">
        <v>2455</v>
      </c>
      <c r="N240" t="str">
        <f t="shared" si="2"/>
        <v xml:space="preserve"> 1.0317</v>
      </c>
      <c r="Q240">
        <v>1.0317000000000001</v>
      </c>
      <c r="R240">
        <v>9</v>
      </c>
    </row>
    <row r="241" spans="1:18" x14ac:dyDescent="0.2">
      <c r="A241">
        <v>212</v>
      </c>
      <c r="B241" t="s">
        <v>57</v>
      </c>
      <c r="C241" t="s">
        <v>1162</v>
      </c>
      <c r="D241">
        <v>-0.51300000000000001</v>
      </c>
      <c r="E241">
        <v>7</v>
      </c>
      <c r="F241" t="s">
        <v>729</v>
      </c>
      <c r="G241" t="s">
        <v>64</v>
      </c>
      <c r="H241" t="s">
        <v>40</v>
      </c>
      <c r="I241" t="s">
        <v>228</v>
      </c>
      <c r="J241" t="s">
        <v>1163</v>
      </c>
      <c r="L241" t="s">
        <v>2456</v>
      </c>
      <c r="N241" t="str">
        <f t="shared" si="2"/>
        <v xml:space="preserve"> 1.0940</v>
      </c>
      <c r="Q241">
        <v>1.0940000000000001</v>
      </c>
      <c r="R241">
        <v>7</v>
      </c>
    </row>
    <row r="242" spans="1:18" x14ac:dyDescent="0.2">
      <c r="A242">
        <v>213</v>
      </c>
      <c r="B242" t="s">
        <v>113</v>
      </c>
      <c r="C242" t="s">
        <v>1164</v>
      </c>
      <c r="D242">
        <v>0.32100000000000001</v>
      </c>
      <c r="E242">
        <v>5</v>
      </c>
      <c r="F242" t="s">
        <v>744</v>
      </c>
      <c r="G242" t="s">
        <v>64</v>
      </c>
      <c r="H242" t="s">
        <v>40</v>
      </c>
      <c r="I242" t="s">
        <v>228</v>
      </c>
      <c r="J242" t="s">
        <v>1165</v>
      </c>
      <c r="L242" t="s">
        <v>2457</v>
      </c>
      <c r="N242" t="str">
        <f t="shared" si="2"/>
        <v xml:space="preserve"> 1.5545</v>
      </c>
      <c r="Q242">
        <v>1.5545</v>
      </c>
      <c r="R242">
        <v>5</v>
      </c>
    </row>
    <row r="243" spans="1:18" x14ac:dyDescent="0.2">
      <c r="A243">
        <v>214</v>
      </c>
      <c r="B243" t="s">
        <v>43</v>
      </c>
      <c r="C243" t="s">
        <v>1166</v>
      </c>
      <c r="D243">
        <v>-0.48799999999999999</v>
      </c>
      <c r="E243">
        <v>7</v>
      </c>
      <c r="F243" t="s">
        <v>1167</v>
      </c>
      <c r="G243" t="s">
        <v>64</v>
      </c>
      <c r="H243" t="s">
        <v>40</v>
      </c>
      <c r="I243" t="s">
        <v>228</v>
      </c>
      <c r="J243" t="s">
        <v>1168</v>
      </c>
      <c r="L243" t="s">
        <v>2458</v>
      </c>
      <c r="N243" t="str">
        <f t="shared" si="2"/>
        <v xml:space="preserve"> 1.1457</v>
      </c>
      <c r="Q243">
        <v>1.1456999999999999</v>
      </c>
      <c r="R243">
        <v>7</v>
      </c>
    </row>
    <row r="244" spans="1:18" x14ac:dyDescent="0.2">
      <c r="A244">
        <v>215</v>
      </c>
      <c r="B244" t="s">
        <v>30</v>
      </c>
      <c r="C244" t="s">
        <v>1169</v>
      </c>
      <c r="D244">
        <v>-0.82199999999999995</v>
      </c>
      <c r="E244">
        <v>9</v>
      </c>
      <c r="F244" t="s">
        <v>1100</v>
      </c>
      <c r="G244" t="s">
        <v>64</v>
      </c>
      <c r="H244" t="s">
        <v>65</v>
      </c>
      <c r="I244" t="s">
        <v>228</v>
      </c>
      <c r="J244" t="s">
        <v>1170</v>
      </c>
      <c r="L244" t="s">
        <v>2459</v>
      </c>
      <c r="N244" t="str">
        <f t="shared" si="2"/>
        <v xml:space="preserve"> 0.5209</v>
      </c>
      <c r="Q244">
        <v>0.52090000000000003</v>
      </c>
      <c r="R244">
        <v>9</v>
      </c>
    </row>
    <row r="245" spans="1:18" x14ac:dyDescent="0.2">
      <c r="A245">
        <v>216</v>
      </c>
      <c r="B245" t="s">
        <v>30</v>
      </c>
      <c r="C245" t="s">
        <v>1171</v>
      </c>
      <c r="D245">
        <v>-0.82</v>
      </c>
      <c r="E245">
        <v>9</v>
      </c>
      <c r="F245" t="s">
        <v>1100</v>
      </c>
      <c r="G245" t="s">
        <v>64</v>
      </c>
      <c r="H245" t="s">
        <v>65</v>
      </c>
      <c r="I245" t="s">
        <v>228</v>
      </c>
      <c r="J245" t="s">
        <v>1172</v>
      </c>
      <c r="L245" t="s">
        <v>2460</v>
      </c>
      <c r="N245" t="str">
        <f t="shared" si="2"/>
        <v xml:space="preserve"> 0.6673</v>
      </c>
      <c r="Q245">
        <v>0.6673</v>
      </c>
      <c r="R245">
        <v>9</v>
      </c>
    </row>
    <row r="246" spans="1:18" x14ac:dyDescent="0.2">
      <c r="A246">
        <v>217</v>
      </c>
      <c r="B246" t="s">
        <v>118</v>
      </c>
      <c r="C246" t="s">
        <v>1173</v>
      </c>
      <c r="D246">
        <v>0.98799999999999999</v>
      </c>
      <c r="E246">
        <v>4</v>
      </c>
      <c r="F246" t="s">
        <v>749</v>
      </c>
      <c r="G246" t="s">
        <v>64</v>
      </c>
      <c r="H246" t="s">
        <v>40</v>
      </c>
      <c r="I246" t="s">
        <v>228</v>
      </c>
      <c r="J246" t="s">
        <v>1174</v>
      </c>
      <c r="L246" t="s">
        <v>2461</v>
      </c>
      <c r="N246" t="str">
        <f t="shared" si="2"/>
        <v xml:space="preserve"> 0.6336</v>
      </c>
      <c r="Q246">
        <v>0.63360000000000005</v>
      </c>
      <c r="R246">
        <v>4</v>
      </c>
    </row>
    <row r="247" spans="1:18" x14ac:dyDescent="0.2">
      <c r="A247">
        <v>218</v>
      </c>
      <c r="B247" t="s">
        <v>43</v>
      </c>
      <c r="C247" t="s">
        <v>1175</v>
      </c>
      <c r="D247">
        <v>-0.89800000000000002</v>
      </c>
      <c r="E247">
        <v>9</v>
      </c>
      <c r="F247" t="s">
        <v>675</v>
      </c>
      <c r="G247" t="s">
        <v>64</v>
      </c>
      <c r="H247" t="s">
        <v>65</v>
      </c>
      <c r="I247" t="s">
        <v>228</v>
      </c>
      <c r="J247" t="s">
        <v>894</v>
      </c>
      <c r="L247" t="s">
        <v>2462</v>
      </c>
      <c r="N247" t="str">
        <f t="shared" si="2"/>
        <v xml:space="preserve"> 0.4708</v>
      </c>
      <c r="Q247">
        <v>0.4708</v>
      </c>
      <c r="R247">
        <v>9</v>
      </c>
    </row>
    <row r="248" spans="1:18" x14ac:dyDescent="0.2">
      <c r="A248">
        <v>219</v>
      </c>
      <c r="B248" t="s">
        <v>52</v>
      </c>
      <c r="C248" t="s">
        <v>1176</v>
      </c>
      <c r="D248">
        <v>-0.73099999999999998</v>
      </c>
      <c r="E248">
        <v>9</v>
      </c>
      <c r="F248" t="s">
        <v>1160</v>
      </c>
      <c r="G248" t="s">
        <v>64</v>
      </c>
      <c r="H248" t="s">
        <v>65</v>
      </c>
      <c r="I248" t="s">
        <v>228</v>
      </c>
      <c r="J248" t="s">
        <v>1177</v>
      </c>
      <c r="L248" t="s">
        <v>2463</v>
      </c>
      <c r="N248" t="str">
        <f t="shared" si="2"/>
        <v xml:space="preserve"> 0.7104</v>
      </c>
      <c r="Q248">
        <v>0.71040000000000003</v>
      </c>
      <c r="R248">
        <v>9</v>
      </c>
    </row>
    <row r="249" spans="1:18" x14ac:dyDescent="0.2">
      <c r="A249">
        <v>220</v>
      </c>
      <c r="B249" t="s">
        <v>94</v>
      </c>
      <c r="C249" t="s">
        <v>1178</v>
      </c>
      <c r="D249">
        <v>0.32400000000000001</v>
      </c>
      <c r="E249">
        <v>5</v>
      </c>
      <c r="F249" t="s">
        <v>744</v>
      </c>
      <c r="G249" t="s">
        <v>64</v>
      </c>
      <c r="H249" t="s">
        <v>40</v>
      </c>
      <c r="I249" t="s">
        <v>228</v>
      </c>
      <c r="J249" t="s">
        <v>1179</v>
      </c>
      <c r="L249" t="s">
        <v>2464</v>
      </c>
      <c r="N249" t="str">
        <f t="shared" si="2"/>
        <v xml:space="preserve"> 1.0608</v>
      </c>
      <c r="Q249">
        <v>1.0608</v>
      </c>
      <c r="R249">
        <v>5</v>
      </c>
    </row>
    <row r="250" spans="1:18" x14ac:dyDescent="0.2">
      <c r="A250">
        <v>221</v>
      </c>
      <c r="B250" t="s">
        <v>113</v>
      </c>
      <c r="C250" t="s">
        <v>1180</v>
      </c>
      <c r="D250">
        <v>1.5640000000000001</v>
      </c>
      <c r="E250">
        <v>3</v>
      </c>
      <c r="F250" t="s">
        <v>687</v>
      </c>
      <c r="G250" t="s">
        <v>64</v>
      </c>
      <c r="H250" t="s">
        <v>40</v>
      </c>
      <c r="I250" t="s">
        <v>228</v>
      </c>
      <c r="J250" t="s">
        <v>1181</v>
      </c>
      <c r="L250" t="s">
        <v>2465</v>
      </c>
      <c r="N250" t="str">
        <f t="shared" si="2"/>
        <v xml:space="preserve"> 0.1305</v>
      </c>
      <c r="Q250">
        <v>0.1305</v>
      </c>
      <c r="R250">
        <v>3</v>
      </c>
    </row>
    <row r="251" spans="1:18" x14ac:dyDescent="0.2">
      <c r="A251">
        <v>222</v>
      </c>
      <c r="B251" t="s">
        <v>160</v>
      </c>
      <c r="C251" t="s">
        <v>1182</v>
      </c>
      <c r="D251">
        <v>-0.36399999999999999</v>
      </c>
      <c r="E251">
        <v>7</v>
      </c>
      <c r="F251" t="s">
        <v>794</v>
      </c>
      <c r="G251" t="s">
        <v>64</v>
      </c>
      <c r="H251" t="s">
        <v>40</v>
      </c>
      <c r="I251" t="s">
        <v>228</v>
      </c>
      <c r="J251" t="s">
        <v>1183</v>
      </c>
      <c r="L251" t="s">
        <v>2466</v>
      </c>
      <c r="N251" t="str">
        <f t="shared" si="2"/>
        <v xml:space="preserve"> 0.5242</v>
      </c>
      <c r="Q251">
        <v>0.5242</v>
      </c>
      <c r="R251">
        <v>7</v>
      </c>
    </row>
    <row r="252" spans="1:18" x14ac:dyDescent="0.2">
      <c r="A252">
        <v>223</v>
      </c>
      <c r="B252" t="s">
        <v>43</v>
      </c>
      <c r="C252" t="s">
        <v>1184</v>
      </c>
      <c r="D252">
        <v>-0.72299999999999998</v>
      </c>
      <c r="E252">
        <v>9</v>
      </c>
      <c r="F252" t="s">
        <v>1062</v>
      </c>
      <c r="G252" t="s">
        <v>64</v>
      </c>
      <c r="H252" t="s">
        <v>65</v>
      </c>
      <c r="I252" t="s">
        <v>165</v>
      </c>
      <c r="J252" t="s">
        <v>1185</v>
      </c>
      <c r="L252" t="s">
        <v>2467</v>
      </c>
      <c r="N252" t="str">
        <f t="shared" si="2"/>
        <v xml:space="preserve"> 0.8218</v>
      </c>
      <c r="Q252">
        <v>0.82179999999999997</v>
      </c>
      <c r="R252">
        <v>9</v>
      </c>
    </row>
    <row r="253" spans="1:18" x14ac:dyDescent="0.2">
      <c r="A253">
        <v>224</v>
      </c>
      <c r="B253" t="s">
        <v>43</v>
      </c>
      <c r="C253" t="s">
        <v>1186</v>
      </c>
      <c r="D253">
        <v>-0.45500000000000002</v>
      </c>
      <c r="E253">
        <v>7</v>
      </c>
      <c r="F253" t="s">
        <v>1187</v>
      </c>
      <c r="G253" t="s">
        <v>64</v>
      </c>
      <c r="H253" t="s">
        <v>40</v>
      </c>
      <c r="I253" t="s">
        <v>228</v>
      </c>
      <c r="J253" t="s">
        <v>1188</v>
      </c>
      <c r="L253" t="s">
        <v>2468</v>
      </c>
      <c r="N253" t="str">
        <f t="shared" si="2"/>
        <v xml:space="preserve"> 1.4169</v>
      </c>
      <c r="Q253">
        <v>1.4169</v>
      </c>
      <c r="R253">
        <v>7</v>
      </c>
    </row>
    <row r="254" spans="1:18" x14ac:dyDescent="0.2">
      <c r="A254">
        <v>225</v>
      </c>
      <c r="B254" t="s">
        <v>113</v>
      </c>
      <c r="C254" t="s">
        <v>1189</v>
      </c>
      <c r="D254">
        <v>-2.4E-2</v>
      </c>
      <c r="E254">
        <v>5</v>
      </c>
      <c r="F254" t="s">
        <v>701</v>
      </c>
      <c r="G254" t="s">
        <v>64</v>
      </c>
      <c r="H254" t="s">
        <v>40</v>
      </c>
      <c r="I254" t="s">
        <v>228</v>
      </c>
      <c r="J254" t="s">
        <v>1190</v>
      </c>
      <c r="L254" t="s">
        <v>2469</v>
      </c>
      <c r="N254" t="str">
        <f t="shared" si="2"/>
        <v xml:space="preserve"> 1.5236</v>
      </c>
      <c r="Q254">
        <v>1.5236000000000001</v>
      </c>
      <c r="R254">
        <v>5</v>
      </c>
    </row>
    <row r="255" spans="1:18" x14ac:dyDescent="0.2">
      <c r="A255">
        <v>226</v>
      </c>
      <c r="B255" t="s">
        <v>52</v>
      </c>
      <c r="C255" t="s">
        <v>1191</v>
      </c>
      <c r="D255">
        <v>-0.58599999999999997</v>
      </c>
      <c r="E255">
        <v>8</v>
      </c>
      <c r="F255" t="s">
        <v>924</v>
      </c>
      <c r="G255" t="s">
        <v>64</v>
      </c>
      <c r="H255" t="s">
        <v>40</v>
      </c>
      <c r="I255" t="s">
        <v>228</v>
      </c>
      <c r="J255" t="s">
        <v>1192</v>
      </c>
      <c r="L255" t="s">
        <v>2470</v>
      </c>
      <c r="N255" t="str">
        <f t="shared" si="2"/>
        <v xml:space="preserve"> 0.9245</v>
      </c>
      <c r="Q255">
        <v>0.92449999999999999</v>
      </c>
      <c r="R255">
        <v>8</v>
      </c>
    </row>
    <row r="256" spans="1:18" x14ac:dyDescent="0.2">
      <c r="A256">
        <v>227</v>
      </c>
      <c r="B256" t="s">
        <v>97</v>
      </c>
      <c r="C256" t="s">
        <v>1193</v>
      </c>
      <c r="D256">
        <v>-0.91800000000000004</v>
      </c>
      <c r="E256">
        <v>9</v>
      </c>
      <c r="F256" t="s">
        <v>888</v>
      </c>
      <c r="G256" t="s">
        <v>33</v>
      </c>
      <c r="H256" t="s">
        <v>34</v>
      </c>
      <c r="I256" t="s">
        <v>228</v>
      </c>
      <c r="J256" t="s">
        <v>899</v>
      </c>
      <c r="L256" t="s">
        <v>2471</v>
      </c>
      <c r="N256" t="str">
        <f t="shared" si="2"/>
        <v xml:space="preserve"> 0.7492</v>
      </c>
      <c r="Q256">
        <v>0.74919999999999998</v>
      </c>
      <c r="R256">
        <v>9</v>
      </c>
    </row>
    <row r="257" spans="1:18" x14ac:dyDescent="0.2">
      <c r="A257">
        <v>228</v>
      </c>
      <c r="B257" t="s">
        <v>123</v>
      </c>
      <c r="C257" t="s">
        <v>1194</v>
      </c>
      <c r="D257">
        <v>-0.44800000000000001</v>
      </c>
      <c r="E257">
        <v>7</v>
      </c>
      <c r="F257" t="s">
        <v>1187</v>
      </c>
      <c r="G257" t="s">
        <v>33</v>
      </c>
      <c r="H257" t="s">
        <v>40</v>
      </c>
      <c r="I257" t="s">
        <v>228</v>
      </c>
      <c r="J257" t="s">
        <v>1195</v>
      </c>
      <c r="L257" t="s">
        <v>2472</v>
      </c>
      <c r="N257" t="str">
        <f t="shared" si="2"/>
        <v xml:space="preserve"> 0.2881</v>
      </c>
      <c r="Q257">
        <v>0.28810000000000002</v>
      </c>
      <c r="R257">
        <v>7</v>
      </c>
    </row>
    <row r="258" spans="1:18" x14ac:dyDescent="0.2">
      <c r="A258">
        <v>229</v>
      </c>
      <c r="B258" t="s">
        <v>113</v>
      </c>
      <c r="C258" t="s">
        <v>1196</v>
      </c>
      <c r="D258">
        <v>0.73</v>
      </c>
      <c r="E258">
        <v>4</v>
      </c>
      <c r="F258" t="s">
        <v>774</v>
      </c>
      <c r="G258" t="s">
        <v>33</v>
      </c>
      <c r="H258" t="s">
        <v>40</v>
      </c>
      <c r="I258" t="s">
        <v>228</v>
      </c>
      <c r="J258" t="s">
        <v>1197</v>
      </c>
      <c r="L258" t="s">
        <v>2473</v>
      </c>
      <c r="N258" t="str">
        <f t="shared" si="2"/>
        <v xml:space="preserve"> 0.4435</v>
      </c>
      <c r="Q258">
        <v>0.44350000000000001</v>
      </c>
      <c r="R258">
        <v>4</v>
      </c>
    </row>
    <row r="259" spans="1:18" x14ac:dyDescent="0.2">
      <c r="A259">
        <v>230</v>
      </c>
      <c r="B259" t="s">
        <v>43</v>
      </c>
      <c r="C259" t="s">
        <v>1198</v>
      </c>
      <c r="D259">
        <v>-0.89800000000000002</v>
      </c>
      <c r="E259">
        <v>9</v>
      </c>
      <c r="F259" t="s">
        <v>675</v>
      </c>
      <c r="G259" t="s">
        <v>33</v>
      </c>
      <c r="H259" t="s">
        <v>34</v>
      </c>
      <c r="I259" t="s">
        <v>228</v>
      </c>
      <c r="J259" t="s">
        <v>894</v>
      </c>
      <c r="L259" t="s">
        <v>2474</v>
      </c>
      <c r="N259" t="str">
        <f t="shared" si="2"/>
        <v xml:space="preserve"> 0.4381</v>
      </c>
      <c r="Q259">
        <v>0.43809999999999999</v>
      </c>
      <c r="R259">
        <v>9</v>
      </c>
    </row>
    <row r="260" spans="1:18" x14ac:dyDescent="0.2">
      <c r="A260">
        <v>231</v>
      </c>
      <c r="B260" t="s">
        <v>123</v>
      </c>
      <c r="C260" t="s">
        <v>1199</v>
      </c>
      <c r="D260">
        <v>-0.86</v>
      </c>
      <c r="E260">
        <v>9</v>
      </c>
      <c r="F260" t="s">
        <v>1059</v>
      </c>
      <c r="G260" t="s">
        <v>33</v>
      </c>
      <c r="H260" t="s">
        <v>34</v>
      </c>
      <c r="I260" t="s">
        <v>228</v>
      </c>
      <c r="J260" t="s">
        <v>1200</v>
      </c>
      <c r="L260" t="s">
        <v>2475</v>
      </c>
      <c r="N260" t="str">
        <f t="shared" si="2"/>
        <v xml:space="preserve"> 0.7294</v>
      </c>
      <c r="Q260">
        <v>0.72940000000000005</v>
      </c>
      <c r="R260">
        <v>9</v>
      </c>
    </row>
    <row r="261" spans="1:18" x14ac:dyDescent="0.2">
      <c r="A261">
        <v>232</v>
      </c>
      <c r="B261" t="s">
        <v>123</v>
      </c>
      <c r="C261" t="s">
        <v>1201</v>
      </c>
      <c r="D261">
        <v>-0.376</v>
      </c>
      <c r="E261">
        <v>7</v>
      </c>
      <c r="F261" t="s">
        <v>1140</v>
      </c>
      <c r="G261" t="s">
        <v>33</v>
      </c>
      <c r="H261" t="s">
        <v>40</v>
      </c>
      <c r="I261" t="s">
        <v>228</v>
      </c>
      <c r="J261" t="s">
        <v>1202</v>
      </c>
      <c r="L261" t="s">
        <v>2476</v>
      </c>
      <c r="N261" t="str">
        <f t="shared" si="2"/>
        <v xml:space="preserve"> 0.9776</v>
      </c>
      <c r="Q261">
        <v>0.97760000000000002</v>
      </c>
      <c r="R261">
        <v>7</v>
      </c>
    </row>
    <row r="262" spans="1:18" x14ac:dyDescent="0.2">
      <c r="A262">
        <v>233</v>
      </c>
      <c r="B262" t="s">
        <v>127</v>
      </c>
      <c r="C262" t="s">
        <v>1203</v>
      </c>
      <c r="D262">
        <v>-0.108</v>
      </c>
      <c r="E262">
        <v>6</v>
      </c>
      <c r="F262" t="s">
        <v>1030</v>
      </c>
      <c r="G262" t="s">
        <v>33</v>
      </c>
      <c r="H262" t="s">
        <v>40</v>
      </c>
      <c r="I262" t="s">
        <v>228</v>
      </c>
      <c r="J262" t="s">
        <v>1204</v>
      </c>
      <c r="L262" t="s">
        <v>2477</v>
      </c>
      <c r="N262" t="str">
        <f>RIGHT((LEFT(L262,11)),7)</f>
        <v xml:space="preserve"> 0.6536</v>
      </c>
      <c r="Q262">
        <v>0.65359999999999996</v>
      </c>
      <c r="R262">
        <v>6</v>
      </c>
    </row>
    <row r="263" spans="1:18" x14ac:dyDescent="0.2">
      <c r="A263">
        <v>234</v>
      </c>
      <c r="B263" t="s">
        <v>233</v>
      </c>
      <c r="C263" t="s">
        <v>1205</v>
      </c>
      <c r="D263">
        <v>0.40200000000000002</v>
      </c>
      <c r="E263">
        <v>4</v>
      </c>
      <c r="F263" t="s">
        <v>690</v>
      </c>
      <c r="G263" t="s">
        <v>64</v>
      </c>
      <c r="H263" t="s">
        <v>40</v>
      </c>
      <c r="I263" t="s">
        <v>228</v>
      </c>
      <c r="J263" t="s">
        <v>1206</v>
      </c>
      <c r="L263" t="s">
        <v>2478</v>
      </c>
      <c r="N263" t="str">
        <f t="shared" ref="N263:N326" si="3">RIGHT((LEFT(L263,11)),7)</f>
        <v xml:space="preserve"> 1.0279</v>
      </c>
      <c r="Q263">
        <v>1.0279</v>
      </c>
      <c r="R263">
        <v>4</v>
      </c>
    </row>
    <row r="264" spans="1:18" x14ac:dyDescent="0.2">
      <c r="A264">
        <v>235</v>
      </c>
      <c r="B264" t="s">
        <v>113</v>
      </c>
      <c r="C264" t="s">
        <v>1207</v>
      </c>
      <c r="D264">
        <v>-0.81100000000000005</v>
      </c>
      <c r="E264">
        <v>9</v>
      </c>
      <c r="F264" t="s">
        <v>1208</v>
      </c>
      <c r="G264" t="s">
        <v>64</v>
      </c>
      <c r="H264" t="s">
        <v>65</v>
      </c>
      <c r="I264" t="s">
        <v>228</v>
      </c>
      <c r="J264" t="s">
        <v>1209</v>
      </c>
      <c r="L264" t="s">
        <v>2479</v>
      </c>
      <c r="N264" t="str">
        <f t="shared" si="3"/>
        <v xml:space="preserve"> 1.1539</v>
      </c>
      <c r="Q264">
        <v>1.1538999999999999</v>
      </c>
      <c r="R264">
        <v>9</v>
      </c>
    </row>
    <row r="265" spans="1:18" x14ac:dyDescent="0.2">
      <c r="A265">
        <v>236</v>
      </c>
      <c r="B265" t="s">
        <v>113</v>
      </c>
      <c r="C265" t="s">
        <v>1210</v>
      </c>
      <c r="D265">
        <v>0.67500000000000004</v>
      </c>
      <c r="E265">
        <v>4</v>
      </c>
      <c r="F265" t="s">
        <v>682</v>
      </c>
      <c r="G265" t="s">
        <v>64</v>
      </c>
      <c r="H265" t="s">
        <v>40</v>
      </c>
      <c r="I265" t="s">
        <v>228</v>
      </c>
      <c r="J265" t="s">
        <v>1211</v>
      </c>
      <c r="L265" t="s">
        <v>2480</v>
      </c>
      <c r="N265" t="str">
        <f t="shared" si="3"/>
        <v xml:space="preserve"> 0.6147</v>
      </c>
      <c r="Q265">
        <v>0.61470000000000002</v>
      </c>
      <c r="R265">
        <v>4</v>
      </c>
    </row>
    <row r="266" spans="1:18" x14ac:dyDescent="0.2">
      <c r="A266">
        <v>237</v>
      </c>
      <c r="B266" t="s">
        <v>142</v>
      </c>
      <c r="C266" t="s">
        <v>1212</v>
      </c>
      <c r="D266">
        <v>0.45400000000000001</v>
      </c>
      <c r="E266">
        <v>4</v>
      </c>
      <c r="F266" t="s">
        <v>690</v>
      </c>
      <c r="G266" t="s">
        <v>64</v>
      </c>
      <c r="H266" t="s">
        <v>40</v>
      </c>
      <c r="I266" t="s">
        <v>228</v>
      </c>
      <c r="J266" t="s">
        <v>1213</v>
      </c>
      <c r="L266" t="s">
        <v>2481</v>
      </c>
      <c r="N266" t="str">
        <f t="shared" si="3"/>
        <v xml:space="preserve"> 0.5569</v>
      </c>
      <c r="Q266">
        <v>0.55689999999999995</v>
      </c>
      <c r="R266">
        <v>4</v>
      </c>
    </row>
    <row r="267" spans="1:18" x14ac:dyDescent="0.2">
      <c r="A267">
        <v>238</v>
      </c>
      <c r="B267" t="s">
        <v>156</v>
      </c>
      <c r="C267" t="s">
        <v>1214</v>
      </c>
      <c r="D267">
        <v>0.10299999999999999</v>
      </c>
      <c r="E267">
        <v>5</v>
      </c>
      <c r="F267" t="s">
        <v>1143</v>
      </c>
      <c r="G267" t="s">
        <v>64</v>
      </c>
      <c r="H267" t="s">
        <v>40</v>
      </c>
      <c r="I267" t="s">
        <v>228</v>
      </c>
      <c r="J267" t="s">
        <v>1215</v>
      </c>
      <c r="L267" t="s">
        <v>2482</v>
      </c>
      <c r="N267" t="str">
        <f t="shared" si="3"/>
        <v xml:space="preserve"> 0.6307</v>
      </c>
      <c r="Q267">
        <v>0.63070000000000004</v>
      </c>
      <c r="R267">
        <v>5</v>
      </c>
    </row>
    <row r="268" spans="1:18" x14ac:dyDescent="0.2">
      <c r="A268">
        <v>239</v>
      </c>
      <c r="B268" t="s">
        <v>113</v>
      </c>
      <c r="C268" t="s">
        <v>1216</v>
      </c>
      <c r="D268">
        <v>-0.69299999999999995</v>
      </c>
      <c r="E268">
        <v>8</v>
      </c>
      <c r="F268" t="s">
        <v>1217</v>
      </c>
      <c r="G268" t="s">
        <v>64</v>
      </c>
      <c r="H268" t="s">
        <v>40</v>
      </c>
      <c r="I268" t="s">
        <v>165</v>
      </c>
      <c r="J268" t="s">
        <v>1218</v>
      </c>
      <c r="L268" t="s">
        <v>2483</v>
      </c>
      <c r="N268" t="str">
        <f t="shared" si="3"/>
        <v xml:space="preserve"> 0.6464</v>
      </c>
      <c r="Q268">
        <v>0.64639999999999997</v>
      </c>
      <c r="R268">
        <v>8</v>
      </c>
    </row>
    <row r="269" spans="1:18" x14ac:dyDescent="0.2">
      <c r="A269">
        <v>240</v>
      </c>
      <c r="B269" t="s">
        <v>156</v>
      </c>
      <c r="C269" t="s">
        <v>1219</v>
      </c>
      <c r="D269">
        <v>4.7E-2</v>
      </c>
      <c r="E269">
        <v>5</v>
      </c>
      <c r="F269" t="s">
        <v>696</v>
      </c>
      <c r="G269" t="s">
        <v>64</v>
      </c>
      <c r="H269" t="s">
        <v>40</v>
      </c>
      <c r="I269" t="s">
        <v>228</v>
      </c>
      <c r="J269" t="s">
        <v>1220</v>
      </c>
      <c r="L269" t="s">
        <v>2484</v>
      </c>
      <c r="N269" t="str">
        <f t="shared" si="3"/>
        <v xml:space="preserve"> 0.8930</v>
      </c>
      <c r="Q269">
        <v>0.89300000000000002</v>
      </c>
      <c r="R269">
        <v>5</v>
      </c>
    </row>
    <row r="270" spans="1:18" x14ac:dyDescent="0.2">
      <c r="A270">
        <v>241</v>
      </c>
      <c r="B270" t="s">
        <v>118</v>
      </c>
      <c r="C270" t="s">
        <v>1221</v>
      </c>
      <c r="D270">
        <v>0.41099999999999998</v>
      </c>
      <c r="E270">
        <v>4</v>
      </c>
      <c r="F270" t="s">
        <v>690</v>
      </c>
      <c r="G270" t="s">
        <v>64</v>
      </c>
      <c r="H270" t="s">
        <v>40</v>
      </c>
      <c r="I270" t="s">
        <v>228</v>
      </c>
      <c r="J270" t="s">
        <v>1222</v>
      </c>
      <c r="L270" t="s">
        <v>2485</v>
      </c>
      <c r="N270" t="str">
        <f t="shared" si="3"/>
        <v xml:space="preserve"> 0.6432</v>
      </c>
      <c r="Q270">
        <v>0.64319999999999999</v>
      </c>
      <c r="R270">
        <v>4</v>
      </c>
    </row>
    <row r="271" spans="1:18" x14ac:dyDescent="0.2">
      <c r="A271">
        <v>242</v>
      </c>
      <c r="B271" t="s">
        <v>194</v>
      </c>
      <c r="C271" t="s">
        <v>1223</v>
      </c>
      <c r="D271">
        <v>-0.68600000000000005</v>
      </c>
      <c r="E271">
        <v>8</v>
      </c>
      <c r="F271" t="s">
        <v>1224</v>
      </c>
      <c r="G271" t="s">
        <v>33</v>
      </c>
      <c r="H271" t="s">
        <v>34</v>
      </c>
      <c r="I271" t="s">
        <v>228</v>
      </c>
      <c r="J271" t="s">
        <v>1225</v>
      </c>
      <c r="L271" t="s">
        <v>2486</v>
      </c>
      <c r="N271" t="str">
        <f t="shared" si="3"/>
        <v xml:space="preserve"> 0.3539</v>
      </c>
      <c r="Q271">
        <v>0.35389999999999999</v>
      </c>
      <c r="R271">
        <v>8</v>
      </c>
    </row>
    <row r="272" spans="1:18" x14ac:dyDescent="0.2">
      <c r="A272">
        <v>243</v>
      </c>
      <c r="B272" t="s">
        <v>156</v>
      </c>
      <c r="C272" t="s">
        <v>1226</v>
      </c>
      <c r="D272">
        <v>-0.14599999999999999</v>
      </c>
      <c r="E272">
        <v>6</v>
      </c>
      <c r="F272" t="s">
        <v>1030</v>
      </c>
      <c r="G272" t="s">
        <v>64</v>
      </c>
      <c r="H272" t="s">
        <v>40</v>
      </c>
      <c r="I272" t="s">
        <v>228</v>
      </c>
      <c r="J272" t="s">
        <v>1227</v>
      </c>
      <c r="L272" t="s">
        <v>2487</v>
      </c>
      <c r="N272" t="str">
        <f t="shared" si="3"/>
        <v xml:space="preserve"> 0.2637</v>
      </c>
      <c r="Q272">
        <v>0.26369999999999999</v>
      </c>
      <c r="R272">
        <v>6</v>
      </c>
    </row>
    <row r="273" spans="1:18" x14ac:dyDescent="0.2">
      <c r="A273">
        <v>244</v>
      </c>
      <c r="B273" t="s">
        <v>118</v>
      </c>
      <c r="C273" t="s">
        <v>1228</v>
      </c>
      <c r="D273">
        <v>0.76</v>
      </c>
      <c r="E273">
        <v>4</v>
      </c>
      <c r="F273" t="s">
        <v>774</v>
      </c>
      <c r="G273" t="s">
        <v>64</v>
      </c>
      <c r="H273" t="s">
        <v>40</v>
      </c>
      <c r="I273" t="s">
        <v>228</v>
      </c>
      <c r="J273" t="s">
        <v>1229</v>
      </c>
      <c r="L273" t="s">
        <v>2488</v>
      </c>
      <c r="N273" t="str">
        <f t="shared" si="3"/>
        <v xml:space="preserve"> 0.5732</v>
      </c>
      <c r="Q273">
        <v>0.57320000000000004</v>
      </c>
      <c r="R273">
        <v>4</v>
      </c>
    </row>
    <row r="274" spans="1:18" x14ac:dyDescent="0.2">
      <c r="A274">
        <v>245</v>
      </c>
      <c r="B274" t="s">
        <v>94</v>
      </c>
      <c r="C274" t="s">
        <v>1230</v>
      </c>
      <c r="D274">
        <v>-0.53300000000000003</v>
      </c>
      <c r="E274">
        <v>8</v>
      </c>
      <c r="F274" t="s">
        <v>729</v>
      </c>
      <c r="G274" t="s">
        <v>64</v>
      </c>
      <c r="H274" t="s">
        <v>40</v>
      </c>
      <c r="I274" t="s">
        <v>228</v>
      </c>
      <c r="J274" t="s">
        <v>1231</v>
      </c>
      <c r="L274" t="s">
        <v>2489</v>
      </c>
      <c r="N274" t="str">
        <f t="shared" si="3"/>
        <v xml:space="preserve"> 0.9026</v>
      </c>
      <c r="Q274">
        <v>0.90259999999999996</v>
      </c>
      <c r="R274">
        <v>8</v>
      </c>
    </row>
    <row r="275" spans="1:18" x14ac:dyDescent="0.2">
      <c r="A275">
        <v>246</v>
      </c>
      <c r="B275" t="s">
        <v>52</v>
      </c>
      <c r="C275" t="s">
        <v>1232</v>
      </c>
      <c r="D275">
        <v>-0.17799999999999999</v>
      </c>
      <c r="E275">
        <v>6</v>
      </c>
      <c r="F275" t="s">
        <v>1030</v>
      </c>
      <c r="G275" t="s">
        <v>64</v>
      </c>
      <c r="H275" t="s">
        <v>40</v>
      </c>
      <c r="I275" t="s">
        <v>228</v>
      </c>
      <c r="J275" t="s">
        <v>1233</v>
      </c>
      <c r="L275" t="s">
        <v>2490</v>
      </c>
      <c r="N275" t="str">
        <f t="shared" si="3"/>
        <v xml:space="preserve"> 0.8754</v>
      </c>
      <c r="Q275">
        <v>0.87539999999999996</v>
      </c>
      <c r="R275">
        <v>6</v>
      </c>
    </row>
    <row r="276" spans="1:18" x14ac:dyDescent="0.2">
      <c r="A276">
        <v>247</v>
      </c>
      <c r="B276" t="s">
        <v>94</v>
      </c>
      <c r="C276" t="s">
        <v>1234</v>
      </c>
      <c r="D276">
        <v>-0.28399999999999997</v>
      </c>
      <c r="E276">
        <v>6</v>
      </c>
      <c r="F276" t="s">
        <v>734</v>
      </c>
      <c r="G276" t="s">
        <v>64</v>
      </c>
      <c r="H276" t="s">
        <v>40</v>
      </c>
      <c r="I276" t="s">
        <v>228</v>
      </c>
      <c r="J276" t="s">
        <v>1235</v>
      </c>
      <c r="L276" t="s">
        <v>2491</v>
      </c>
      <c r="N276" t="str">
        <f t="shared" si="3"/>
        <v xml:space="preserve"> 0.7590</v>
      </c>
      <c r="Q276">
        <v>0.75900000000000001</v>
      </c>
      <c r="R276">
        <v>6</v>
      </c>
    </row>
    <row r="277" spans="1:18" x14ac:dyDescent="0.2">
      <c r="A277">
        <v>248</v>
      </c>
      <c r="B277" t="s">
        <v>94</v>
      </c>
      <c r="C277" t="s">
        <v>1236</v>
      </c>
      <c r="D277">
        <v>-2.4E-2</v>
      </c>
      <c r="E277">
        <v>5</v>
      </c>
      <c r="F277" t="s">
        <v>701</v>
      </c>
      <c r="G277" t="s">
        <v>64</v>
      </c>
      <c r="H277" t="s">
        <v>40</v>
      </c>
      <c r="I277" t="s">
        <v>228</v>
      </c>
      <c r="J277" t="s">
        <v>1237</v>
      </c>
      <c r="L277" t="s">
        <v>2492</v>
      </c>
      <c r="N277" t="str">
        <f t="shared" si="3"/>
        <v xml:space="preserve"> 1.0612</v>
      </c>
      <c r="Q277">
        <v>1.0611999999999999</v>
      </c>
      <c r="R277">
        <v>5</v>
      </c>
    </row>
    <row r="278" spans="1:18" x14ac:dyDescent="0.2">
      <c r="A278">
        <v>249</v>
      </c>
      <c r="B278" t="s">
        <v>156</v>
      </c>
      <c r="C278" t="s">
        <v>1238</v>
      </c>
      <c r="D278">
        <v>-0.92700000000000005</v>
      </c>
      <c r="E278">
        <v>9</v>
      </c>
      <c r="F278" t="s">
        <v>879</v>
      </c>
      <c r="G278" t="s">
        <v>64</v>
      </c>
      <c r="H278" t="s">
        <v>65</v>
      </c>
      <c r="I278" t="s">
        <v>228</v>
      </c>
      <c r="J278" t="s">
        <v>880</v>
      </c>
      <c r="L278" t="s">
        <v>2493</v>
      </c>
      <c r="N278" t="str">
        <f t="shared" si="3"/>
        <v xml:space="preserve"> 1.6178</v>
      </c>
      <c r="Q278">
        <v>1.6177999999999999</v>
      </c>
      <c r="R278">
        <v>9</v>
      </c>
    </row>
    <row r="279" spans="1:18" x14ac:dyDescent="0.2">
      <c r="A279">
        <v>250</v>
      </c>
      <c r="B279" t="s">
        <v>156</v>
      </c>
      <c r="C279" t="s">
        <v>1239</v>
      </c>
      <c r="D279">
        <v>-0.84299999999999997</v>
      </c>
      <c r="E279">
        <v>9</v>
      </c>
      <c r="F279" t="s">
        <v>1095</v>
      </c>
      <c r="G279" t="s">
        <v>64</v>
      </c>
      <c r="H279" t="s">
        <v>65</v>
      </c>
      <c r="I279" t="s">
        <v>228</v>
      </c>
      <c r="J279" t="s">
        <v>1240</v>
      </c>
      <c r="L279" t="s">
        <v>2494</v>
      </c>
      <c r="N279" t="str">
        <f t="shared" si="3"/>
        <v xml:space="preserve"> 1.5088</v>
      </c>
      <c r="Q279">
        <v>1.5087999999999999</v>
      </c>
      <c r="R279">
        <v>9</v>
      </c>
    </row>
    <row r="280" spans="1:18" x14ac:dyDescent="0.2">
      <c r="A280">
        <v>251</v>
      </c>
      <c r="B280" t="s">
        <v>94</v>
      </c>
      <c r="C280" t="s">
        <v>1241</v>
      </c>
      <c r="D280">
        <v>-0.89800000000000002</v>
      </c>
      <c r="E280">
        <v>9</v>
      </c>
      <c r="F280" t="s">
        <v>675</v>
      </c>
      <c r="G280" t="s">
        <v>64</v>
      </c>
      <c r="H280" t="s">
        <v>65</v>
      </c>
      <c r="I280" t="s">
        <v>228</v>
      </c>
      <c r="J280" t="s">
        <v>383</v>
      </c>
      <c r="L280" t="s">
        <v>2495</v>
      </c>
      <c r="N280" t="str">
        <f t="shared" si="3"/>
        <v xml:space="preserve"> 0.9649</v>
      </c>
      <c r="Q280">
        <v>0.96489999999999998</v>
      </c>
      <c r="R280">
        <v>9</v>
      </c>
    </row>
    <row r="281" spans="1:18" x14ac:dyDescent="0.2">
      <c r="A281">
        <v>252</v>
      </c>
      <c r="B281" t="s">
        <v>118</v>
      </c>
      <c r="C281" t="s">
        <v>1242</v>
      </c>
      <c r="D281">
        <v>-0.63100000000000001</v>
      </c>
      <c r="E281">
        <v>8</v>
      </c>
      <c r="F281" t="s">
        <v>909</v>
      </c>
      <c r="G281" t="s">
        <v>64</v>
      </c>
      <c r="H281" t="s">
        <v>40</v>
      </c>
      <c r="I281" t="s">
        <v>228</v>
      </c>
      <c r="J281" t="s">
        <v>1243</v>
      </c>
      <c r="L281" t="s">
        <v>2496</v>
      </c>
      <c r="N281" t="str">
        <f t="shared" si="3"/>
        <v xml:space="preserve"> 1.3695</v>
      </c>
      <c r="Q281">
        <v>1.3694999999999999</v>
      </c>
      <c r="R281">
        <v>8</v>
      </c>
    </row>
    <row r="282" spans="1:18" x14ac:dyDescent="0.2">
      <c r="A282">
        <v>253</v>
      </c>
      <c r="B282" t="s">
        <v>127</v>
      </c>
      <c r="C282" t="s">
        <v>1244</v>
      </c>
      <c r="D282">
        <v>-0.86</v>
      </c>
      <c r="E282">
        <v>9</v>
      </c>
      <c r="F282" t="s">
        <v>1059</v>
      </c>
      <c r="G282" t="s">
        <v>33</v>
      </c>
      <c r="H282" t="s">
        <v>34</v>
      </c>
      <c r="I282" t="s">
        <v>228</v>
      </c>
      <c r="J282" t="s">
        <v>1245</v>
      </c>
      <c r="L282" t="s">
        <v>2497</v>
      </c>
      <c r="N282" t="str">
        <f t="shared" si="3"/>
        <v xml:space="preserve"> 1.8251</v>
      </c>
      <c r="Q282">
        <v>1.8250999999999999</v>
      </c>
      <c r="R282">
        <v>9</v>
      </c>
    </row>
    <row r="283" spans="1:18" x14ac:dyDescent="0.2">
      <c r="A283">
        <v>254</v>
      </c>
      <c r="B283" t="s">
        <v>43</v>
      </c>
      <c r="C283" t="s">
        <v>1246</v>
      </c>
      <c r="D283">
        <v>8.9999999999999993E-3</v>
      </c>
      <c r="E283">
        <v>5</v>
      </c>
      <c r="F283" t="s">
        <v>1247</v>
      </c>
      <c r="G283" t="s">
        <v>64</v>
      </c>
      <c r="H283" t="s">
        <v>40</v>
      </c>
      <c r="I283" t="s">
        <v>228</v>
      </c>
      <c r="J283" t="s">
        <v>1248</v>
      </c>
      <c r="L283" t="s">
        <v>2498</v>
      </c>
      <c r="N283" t="str">
        <f t="shared" si="3"/>
        <v xml:space="preserve"> 1.7146</v>
      </c>
      <c r="Q283">
        <v>1.7145999999999999</v>
      </c>
      <c r="R283">
        <v>5</v>
      </c>
    </row>
    <row r="284" spans="1:18" x14ac:dyDescent="0.2">
      <c r="A284">
        <v>255</v>
      </c>
      <c r="B284" t="s">
        <v>57</v>
      </c>
      <c r="C284" t="s">
        <v>1249</v>
      </c>
      <c r="D284">
        <v>-0.89500000000000002</v>
      </c>
      <c r="E284">
        <v>9</v>
      </c>
      <c r="F284" t="s">
        <v>675</v>
      </c>
      <c r="G284" t="s">
        <v>33</v>
      </c>
      <c r="H284" t="s">
        <v>34</v>
      </c>
      <c r="I284" t="s">
        <v>228</v>
      </c>
      <c r="J284" t="s">
        <v>915</v>
      </c>
      <c r="L284" t="s">
        <v>2499</v>
      </c>
      <c r="N284" t="str">
        <f t="shared" si="3"/>
        <v xml:space="preserve"> 1.6661</v>
      </c>
      <c r="Q284">
        <v>1.6660999999999999</v>
      </c>
      <c r="R284">
        <v>9</v>
      </c>
    </row>
    <row r="285" spans="1:18" x14ac:dyDescent="0.2">
      <c r="A285">
        <v>256</v>
      </c>
      <c r="B285" t="s">
        <v>43</v>
      </c>
      <c r="C285" t="s">
        <v>1250</v>
      </c>
      <c r="D285">
        <v>0.11600000000000001</v>
      </c>
      <c r="E285">
        <v>5</v>
      </c>
      <c r="F285" t="s">
        <v>696</v>
      </c>
      <c r="G285" t="s">
        <v>64</v>
      </c>
      <c r="H285" t="s">
        <v>40</v>
      </c>
      <c r="I285" t="s">
        <v>228</v>
      </c>
      <c r="J285" t="s">
        <v>1251</v>
      </c>
      <c r="L285" t="s">
        <v>2500</v>
      </c>
      <c r="N285" t="str">
        <f t="shared" si="3"/>
        <v xml:space="preserve"> 1.0520</v>
      </c>
      <c r="Q285">
        <v>1.052</v>
      </c>
      <c r="R285">
        <v>5</v>
      </c>
    </row>
    <row r="286" spans="1:18" x14ac:dyDescent="0.2">
      <c r="A286">
        <v>257</v>
      </c>
      <c r="B286" t="s">
        <v>108</v>
      </c>
      <c r="C286" t="s">
        <v>1252</v>
      </c>
      <c r="D286">
        <v>0.99199999999999999</v>
      </c>
      <c r="E286">
        <v>4</v>
      </c>
      <c r="F286" t="s">
        <v>749</v>
      </c>
      <c r="G286" t="s">
        <v>64</v>
      </c>
      <c r="H286" t="s">
        <v>40</v>
      </c>
      <c r="I286" t="s">
        <v>228</v>
      </c>
      <c r="J286" t="s">
        <v>1253</v>
      </c>
      <c r="L286" t="s">
        <v>2501</v>
      </c>
      <c r="N286" t="str">
        <f t="shared" si="3"/>
        <v xml:space="preserve"> 1.1221</v>
      </c>
      <c r="Q286">
        <v>1.1221000000000001</v>
      </c>
      <c r="R286">
        <v>4</v>
      </c>
    </row>
    <row r="287" spans="1:18" x14ac:dyDescent="0.2">
      <c r="A287">
        <v>258</v>
      </c>
      <c r="B287" t="s">
        <v>94</v>
      </c>
      <c r="C287" t="s">
        <v>1254</v>
      </c>
      <c r="D287">
        <v>-0.89800000000000002</v>
      </c>
      <c r="E287">
        <v>9</v>
      </c>
      <c r="F287" t="s">
        <v>675</v>
      </c>
      <c r="G287" t="s">
        <v>64</v>
      </c>
      <c r="H287" t="s">
        <v>65</v>
      </c>
      <c r="I287" t="s">
        <v>228</v>
      </c>
      <c r="J287" t="s">
        <v>383</v>
      </c>
      <c r="L287" t="s">
        <v>2502</v>
      </c>
      <c r="N287" t="str">
        <f t="shared" si="3"/>
        <v xml:space="preserve"> 0.8858</v>
      </c>
      <c r="Q287">
        <v>0.88580000000000003</v>
      </c>
      <c r="R287">
        <v>9</v>
      </c>
    </row>
    <row r="288" spans="1:18" x14ac:dyDescent="0.2">
      <c r="A288">
        <v>259</v>
      </c>
      <c r="B288" t="s">
        <v>113</v>
      </c>
      <c r="C288" t="s">
        <v>1255</v>
      </c>
      <c r="D288">
        <v>-0.55600000000000005</v>
      </c>
      <c r="E288">
        <v>8</v>
      </c>
      <c r="F288" t="s">
        <v>729</v>
      </c>
      <c r="G288" t="s">
        <v>64</v>
      </c>
      <c r="H288" t="s">
        <v>40</v>
      </c>
      <c r="I288" t="s">
        <v>228</v>
      </c>
      <c r="J288" t="s">
        <v>1256</v>
      </c>
      <c r="L288" t="s">
        <v>2503</v>
      </c>
      <c r="N288" t="str">
        <f t="shared" si="3"/>
        <v xml:space="preserve"> 0.5957</v>
      </c>
      <c r="Q288">
        <v>0.59570000000000001</v>
      </c>
      <c r="R288">
        <v>8</v>
      </c>
    </row>
    <row r="289" spans="1:18" x14ac:dyDescent="0.2">
      <c r="A289">
        <v>260</v>
      </c>
      <c r="B289" t="s">
        <v>94</v>
      </c>
      <c r="C289" t="s">
        <v>1257</v>
      </c>
      <c r="D289">
        <v>0.56399999999999995</v>
      </c>
      <c r="E289">
        <v>4</v>
      </c>
      <c r="F289" t="s">
        <v>678</v>
      </c>
      <c r="G289" t="s">
        <v>64</v>
      </c>
      <c r="H289" t="s">
        <v>40</v>
      </c>
      <c r="I289" t="s">
        <v>228</v>
      </c>
      <c r="J289" t="s">
        <v>1258</v>
      </c>
      <c r="L289" t="s">
        <v>2504</v>
      </c>
      <c r="N289" t="str">
        <f t="shared" si="3"/>
        <v xml:space="preserve"> 0.5596</v>
      </c>
      <c r="Q289">
        <v>0.55959999999999999</v>
      </c>
      <c r="R289">
        <v>4</v>
      </c>
    </row>
    <row r="290" spans="1:18" x14ac:dyDescent="0.2">
      <c r="A290">
        <v>261</v>
      </c>
      <c r="B290" t="s">
        <v>233</v>
      </c>
      <c r="C290" t="s">
        <v>1259</v>
      </c>
      <c r="D290">
        <v>-0.499</v>
      </c>
      <c r="E290">
        <v>7</v>
      </c>
      <c r="F290" t="s">
        <v>1260</v>
      </c>
      <c r="G290" t="s">
        <v>64</v>
      </c>
      <c r="H290" t="s">
        <v>40</v>
      </c>
      <c r="I290" t="s">
        <v>228</v>
      </c>
      <c r="J290" t="s">
        <v>1261</v>
      </c>
      <c r="L290" t="s">
        <v>2505</v>
      </c>
      <c r="N290" t="str">
        <f t="shared" si="3"/>
        <v xml:space="preserve"> 0.9722</v>
      </c>
      <c r="Q290">
        <v>0.97219999999999995</v>
      </c>
      <c r="R290">
        <v>7</v>
      </c>
    </row>
    <row r="291" spans="1:18" x14ac:dyDescent="0.2">
      <c r="A291">
        <v>262</v>
      </c>
      <c r="B291" t="s">
        <v>123</v>
      </c>
      <c r="C291" t="s">
        <v>1262</v>
      </c>
      <c r="D291">
        <v>-0.86099999999999999</v>
      </c>
      <c r="E291">
        <v>9</v>
      </c>
      <c r="F291" t="s">
        <v>1059</v>
      </c>
      <c r="G291" t="s">
        <v>64</v>
      </c>
      <c r="H291" t="s">
        <v>65</v>
      </c>
      <c r="I291" t="s">
        <v>228</v>
      </c>
      <c r="J291" t="s">
        <v>1263</v>
      </c>
      <c r="L291" t="s">
        <v>2506</v>
      </c>
      <c r="N291" t="str">
        <f t="shared" si="3"/>
        <v xml:space="preserve"> 0.8616</v>
      </c>
      <c r="Q291">
        <v>0.86160000000000003</v>
      </c>
      <c r="R291">
        <v>9</v>
      </c>
    </row>
    <row r="292" spans="1:18" x14ac:dyDescent="0.2">
      <c r="A292">
        <v>263</v>
      </c>
      <c r="B292" t="s">
        <v>113</v>
      </c>
      <c r="C292" t="s">
        <v>1264</v>
      </c>
      <c r="D292">
        <v>-0.02</v>
      </c>
      <c r="E292">
        <v>5</v>
      </c>
      <c r="F292" t="s">
        <v>701</v>
      </c>
      <c r="G292" t="s">
        <v>64</v>
      </c>
      <c r="H292" t="s">
        <v>40</v>
      </c>
      <c r="I292" t="s">
        <v>228</v>
      </c>
      <c r="J292" t="s">
        <v>1265</v>
      </c>
      <c r="L292" t="s">
        <v>2507</v>
      </c>
      <c r="N292" t="str">
        <f t="shared" si="3"/>
        <v xml:space="preserve"> 0.6078</v>
      </c>
      <c r="Q292">
        <v>0.60780000000000001</v>
      </c>
      <c r="R292">
        <v>5</v>
      </c>
    </row>
    <row r="293" spans="1:18" x14ac:dyDescent="0.2">
      <c r="A293">
        <v>264</v>
      </c>
      <c r="B293" t="s">
        <v>113</v>
      </c>
      <c r="C293" t="s">
        <v>1266</v>
      </c>
      <c r="D293">
        <v>1.839</v>
      </c>
      <c r="E293">
        <v>2</v>
      </c>
      <c r="F293" t="s">
        <v>842</v>
      </c>
      <c r="G293" t="s">
        <v>64</v>
      </c>
      <c r="H293" t="s">
        <v>40</v>
      </c>
      <c r="I293" t="s">
        <v>228</v>
      </c>
      <c r="J293" t="s">
        <v>1267</v>
      </c>
      <c r="L293" t="s">
        <v>2508</v>
      </c>
      <c r="N293" t="str">
        <f t="shared" si="3"/>
        <v xml:space="preserve"> 0.6724</v>
      </c>
      <c r="Q293">
        <v>0.6724</v>
      </c>
      <c r="R293">
        <v>2</v>
      </c>
    </row>
    <row r="294" spans="1:18" x14ac:dyDescent="0.2">
      <c r="A294">
        <v>265</v>
      </c>
      <c r="B294" t="s">
        <v>156</v>
      </c>
      <c r="C294" t="s">
        <v>1268</v>
      </c>
      <c r="D294">
        <v>-0.66600000000000004</v>
      </c>
      <c r="E294">
        <v>8</v>
      </c>
      <c r="F294" t="s">
        <v>896</v>
      </c>
      <c r="G294" t="s">
        <v>64</v>
      </c>
      <c r="H294" t="s">
        <v>40</v>
      </c>
      <c r="I294" t="s">
        <v>228</v>
      </c>
      <c r="J294" t="s">
        <v>1269</v>
      </c>
      <c r="L294" t="s">
        <v>2509</v>
      </c>
      <c r="N294" t="str">
        <f t="shared" si="3"/>
        <v xml:space="preserve"> 0.2838</v>
      </c>
      <c r="Q294">
        <v>0.2838</v>
      </c>
      <c r="R294">
        <v>8</v>
      </c>
    </row>
    <row r="295" spans="1:18" x14ac:dyDescent="0.2">
      <c r="A295">
        <v>266</v>
      </c>
      <c r="B295" t="s">
        <v>43</v>
      </c>
      <c r="C295" t="s">
        <v>1270</v>
      </c>
      <c r="D295">
        <v>-0.89800000000000002</v>
      </c>
      <c r="E295">
        <v>9</v>
      </c>
      <c r="F295" t="s">
        <v>675</v>
      </c>
      <c r="G295" t="s">
        <v>64</v>
      </c>
      <c r="H295" t="s">
        <v>65</v>
      </c>
      <c r="I295" t="s">
        <v>207</v>
      </c>
      <c r="J295" t="s">
        <v>894</v>
      </c>
      <c r="L295" t="s">
        <v>2510</v>
      </c>
      <c r="N295" t="str">
        <f t="shared" si="3"/>
        <v xml:space="preserve"> 0.4854</v>
      </c>
      <c r="Q295">
        <v>0.4854</v>
      </c>
      <c r="R295">
        <v>9</v>
      </c>
    </row>
    <row r="296" spans="1:18" x14ac:dyDescent="0.2">
      <c r="A296">
        <v>267</v>
      </c>
      <c r="B296" t="s">
        <v>118</v>
      </c>
      <c r="C296" t="s">
        <v>1271</v>
      </c>
      <c r="D296">
        <v>0.60499999999999998</v>
      </c>
      <c r="E296">
        <v>4</v>
      </c>
      <c r="F296" t="s">
        <v>682</v>
      </c>
      <c r="G296" t="s">
        <v>64</v>
      </c>
      <c r="H296" t="s">
        <v>40</v>
      </c>
      <c r="I296" t="s">
        <v>469</v>
      </c>
      <c r="J296" t="s">
        <v>1272</v>
      </c>
      <c r="L296" t="s">
        <v>2511</v>
      </c>
      <c r="N296" t="str">
        <f t="shared" si="3"/>
        <v xml:space="preserve"> 0.2775</v>
      </c>
      <c r="Q296">
        <v>0.27750000000000002</v>
      </c>
      <c r="R296">
        <v>4</v>
      </c>
    </row>
    <row r="297" spans="1:18" x14ac:dyDescent="0.2">
      <c r="A297">
        <v>268</v>
      </c>
      <c r="B297" t="s">
        <v>43</v>
      </c>
      <c r="C297" t="s">
        <v>1273</v>
      </c>
      <c r="D297">
        <v>-0.81</v>
      </c>
      <c r="E297">
        <v>9</v>
      </c>
      <c r="F297" t="s">
        <v>1208</v>
      </c>
      <c r="G297" t="s">
        <v>64</v>
      </c>
      <c r="H297" t="s">
        <v>65</v>
      </c>
      <c r="I297" t="s">
        <v>207</v>
      </c>
      <c r="J297" t="s">
        <v>1274</v>
      </c>
      <c r="L297" t="s">
        <v>2512</v>
      </c>
      <c r="N297" t="str">
        <f t="shared" si="3"/>
        <v xml:space="preserve"> 0.3775</v>
      </c>
      <c r="Q297">
        <v>0.3775</v>
      </c>
      <c r="R297">
        <v>9</v>
      </c>
    </row>
    <row r="298" spans="1:18" x14ac:dyDescent="0.2">
      <c r="A298">
        <v>269</v>
      </c>
      <c r="B298" t="s">
        <v>142</v>
      </c>
      <c r="C298" t="s">
        <v>1275</v>
      </c>
      <c r="D298">
        <v>-0.83099999999999996</v>
      </c>
      <c r="E298">
        <v>9</v>
      </c>
      <c r="F298" t="s">
        <v>1095</v>
      </c>
      <c r="G298" t="s">
        <v>64</v>
      </c>
      <c r="H298" t="s">
        <v>65</v>
      </c>
      <c r="I298" t="s">
        <v>207</v>
      </c>
      <c r="J298" t="s">
        <v>1276</v>
      </c>
      <c r="L298" t="s">
        <v>2513</v>
      </c>
      <c r="N298" t="str">
        <f t="shared" si="3"/>
        <v xml:space="preserve"> 0.4977</v>
      </c>
      <c r="Q298">
        <v>0.49769999999999998</v>
      </c>
      <c r="R298">
        <v>9</v>
      </c>
    </row>
    <row r="299" spans="1:18" x14ac:dyDescent="0.2">
      <c r="A299">
        <v>270</v>
      </c>
      <c r="B299" t="s">
        <v>43</v>
      </c>
      <c r="C299" t="s">
        <v>1277</v>
      </c>
      <c r="D299">
        <v>-0.89800000000000002</v>
      </c>
      <c r="E299">
        <v>9</v>
      </c>
      <c r="F299" t="s">
        <v>675</v>
      </c>
      <c r="G299" t="s">
        <v>64</v>
      </c>
      <c r="H299" t="s">
        <v>65</v>
      </c>
      <c r="I299" t="s">
        <v>228</v>
      </c>
      <c r="J299" t="s">
        <v>894</v>
      </c>
      <c r="L299" t="s">
        <v>2514</v>
      </c>
      <c r="N299" t="str">
        <f t="shared" si="3"/>
        <v xml:space="preserve"> 0.2211</v>
      </c>
      <c r="Q299">
        <v>0.22109999999999999</v>
      </c>
      <c r="R299">
        <v>9</v>
      </c>
    </row>
    <row r="300" spans="1:18" x14ac:dyDescent="0.2">
      <c r="A300">
        <v>271</v>
      </c>
      <c r="B300" t="s">
        <v>43</v>
      </c>
      <c r="C300" t="s">
        <v>1278</v>
      </c>
      <c r="D300">
        <v>-0.81100000000000005</v>
      </c>
      <c r="E300">
        <v>9</v>
      </c>
      <c r="F300" t="s">
        <v>927</v>
      </c>
      <c r="G300" t="s">
        <v>64</v>
      </c>
      <c r="H300" t="s">
        <v>65</v>
      </c>
      <c r="I300" t="s">
        <v>228</v>
      </c>
      <c r="J300" t="s">
        <v>67</v>
      </c>
      <c r="L300" t="s">
        <v>2515</v>
      </c>
      <c r="N300" t="str">
        <f t="shared" si="3"/>
        <v xml:space="preserve"> 0.6656</v>
      </c>
      <c r="Q300">
        <v>0.66559999999999997</v>
      </c>
      <c r="R300">
        <v>9</v>
      </c>
    </row>
    <row r="301" spans="1:18" x14ac:dyDescent="0.2">
      <c r="A301">
        <v>272</v>
      </c>
      <c r="B301" t="s">
        <v>156</v>
      </c>
      <c r="C301" t="s">
        <v>1279</v>
      </c>
      <c r="D301">
        <v>-0.23599999999999999</v>
      </c>
      <c r="E301">
        <v>6</v>
      </c>
      <c r="F301" t="s">
        <v>726</v>
      </c>
      <c r="G301" t="s">
        <v>64</v>
      </c>
      <c r="H301" t="s">
        <v>40</v>
      </c>
      <c r="I301" t="s">
        <v>228</v>
      </c>
      <c r="J301" t="s">
        <v>1280</v>
      </c>
      <c r="L301" t="s">
        <v>2516</v>
      </c>
      <c r="N301" t="str">
        <f t="shared" si="3"/>
        <v xml:space="preserve"> 1.2225</v>
      </c>
      <c r="Q301">
        <v>1.2224999999999999</v>
      </c>
      <c r="R301">
        <v>6</v>
      </c>
    </row>
    <row r="302" spans="1:18" x14ac:dyDescent="0.2">
      <c r="A302">
        <v>273</v>
      </c>
      <c r="B302" t="s">
        <v>142</v>
      </c>
      <c r="C302" t="s">
        <v>1281</v>
      </c>
      <c r="D302">
        <v>-0.33900000000000002</v>
      </c>
      <c r="E302">
        <v>7</v>
      </c>
      <c r="F302" t="s">
        <v>901</v>
      </c>
      <c r="G302" t="s">
        <v>64</v>
      </c>
      <c r="H302" t="s">
        <v>40</v>
      </c>
      <c r="I302" t="s">
        <v>228</v>
      </c>
      <c r="J302" t="s">
        <v>1282</v>
      </c>
      <c r="L302" t="s">
        <v>2517</v>
      </c>
      <c r="N302" t="str">
        <f t="shared" si="3"/>
        <v xml:space="preserve"> 1.4320</v>
      </c>
      <c r="Q302">
        <v>1.4319999999999999</v>
      </c>
      <c r="R302">
        <v>7</v>
      </c>
    </row>
    <row r="303" spans="1:18" x14ac:dyDescent="0.2">
      <c r="A303">
        <v>274</v>
      </c>
      <c r="B303" t="s">
        <v>101</v>
      </c>
      <c r="C303" t="s">
        <v>1283</v>
      </c>
      <c r="D303">
        <v>-0.90400000000000003</v>
      </c>
      <c r="E303">
        <v>9</v>
      </c>
      <c r="F303" t="s">
        <v>717</v>
      </c>
      <c r="G303" t="s">
        <v>64</v>
      </c>
      <c r="H303" t="s">
        <v>65</v>
      </c>
      <c r="I303" t="s">
        <v>228</v>
      </c>
      <c r="J303" t="s">
        <v>997</v>
      </c>
      <c r="L303" t="s">
        <v>2518</v>
      </c>
      <c r="N303" t="str">
        <f t="shared" si="3"/>
        <v xml:space="preserve"> 0.7009</v>
      </c>
      <c r="Q303">
        <v>0.70089999999999997</v>
      </c>
      <c r="R303">
        <v>9</v>
      </c>
    </row>
    <row r="304" spans="1:18" x14ac:dyDescent="0.2">
      <c r="A304">
        <v>275</v>
      </c>
      <c r="B304" t="s">
        <v>142</v>
      </c>
      <c r="C304" t="s">
        <v>1284</v>
      </c>
      <c r="D304">
        <v>-0.59199999999999997</v>
      </c>
      <c r="E304">
        <v>8</v>
      </c>
      <c r="F304" t="s">
        <v>1285</v>
      </c>
      <c r="G304" t="s">
        <v>64</v>
      </c>
      <c r="H304" t="s">
        <v>40</v>
      </c>
      <c r="I304" t="s">
        <v>228</v>
      </c>
      <c r="J304" t="s">
        <v>1286</v>
      </c>
      <c r="L304" t="s">
        <v>2519</v>
      </c>
      <c r="N304" t="str">
        <f t="shared" si="3"/>
        <v xml:space="preserve"> 0.9805</v>
      </c>
      <c r="Q304">
        <v>0.98050000000000004</v>
      </c>
      <c r="R304">
        <v>8</v>
      </c>
    </row>
    <row r="305" spans="1:18" x14ac:dyDescent="0.2">
      <c r="A305">
        <v>276</v>
      </c>
      <c r="B305" t="s">
        <v>118</v>
      </c>
      <c r="C305" t="s">
        <v>1287</v>
      </c>
      <c r="D305">
        <v>-0.78</v>
      </c>
      <c r="E305">
        <v>9</v>
      </c>
      <c r="F305" t="s">
        <v>1288</v>
      </c>
      <c r="G305" t="s">
        <v>64</v>
      </c>
      <c r="H305" t="s">
        <v>65</v>
      </c>
      <c r="I305" t="s">
        <v>228</v>
      </c>
      <c r="J305" t="s">
        <v>1289</v>
      </c>
      <c r="L305" t="s">
        <v>2520</v>
      </c>
      <c r="N305" t="str">
        <f t="shared" si="3"/>
        <v xml:space="preserve"> 0.9532</v>
      </c>
      <c r="Q305">
        <v>0.95320000000000005</v>
      </c>
      <c r="R305">
        <v>9</v>
      </c>
    </row>
    <row r="306" spans="1:18" x14ac:dyDescent="0.2">
      <c r="A306">
        <v>277</v>
      </c>
      <c r="B306" t="s">
        <v>94</v>
      </c>
      <c r="C306" t="s">
        <v>1290</v>
      </c>
      <c r="D306">
        <v>-0.53600000000000003</v>
      </c>
      <c r="E306">
        <v>8</v>
      </c>
      <c r="F306" t="s">
        <v>729</v>
      </c>
      <c r="G306" t="s">
        <v>64</v>
      </c>
      <c r="H306" t="s">
        <v>40</v>
      </c>
      <c r="I306" t="s">
        <v>228</v>
      </c>
      <c r="J306" t="s">
        <v>1291</v>
      </c>
      <c r="L306" t="s">
        <v>2521</v>
      </c>
      <c r="N306" t="str">
        <f t="shared" si="3"/>
        <v xml:space="preserve"> 0.6590</v>
      </c>
      <c r="Q306">
        <v>0.65900000000000003</v>
      </c>
      <c r="R306">
        <v>8</v>
      </c>
    </row>
    <row r="307" spans="1:18" x14ac:dyDescent="0.2">
      <c r="A307">
        <v>278</v>
      </c>
      <c r="B307" t="s">
        <v>156</v>
      </c>
      <c r="C307" t="s">
        <v>1292</v>
      </c>
      <c r="D307">
        <v>-0.443</v>
      </c>
      <c r="E307">
        <v>7</v>
      </c>
      <c r="F307" t="s">
        <v>876</v>
      </c>
      <c r="G307" t="s">
        <v>64</v>
      </c>
      <c r="H307" t="s">
        <v>40</v>
      </c>
      <c r="I307" t="s">
        <v>228</v>
      </c>
      <c r="J307" t="s">
        <v>1293</v>
      </c>
      <c r="L307" t="s">
        <v>2522</v>
      </c>
      <c r="N307" t="str">
        <f t="shared" si="3"/>
        <v xml:space="preserve"> 0.5660</v>
      </c>
      <c r="Q307">
        <v>0.56599999999999995</v>
      </c>
      <c r="R307">
        <v>7</v>
      </c>
    </row>
    <row r="308" spans="1:18" x14ac:dyDescent="0.2">
      <c r="A308">
        <v>279</v>
      </c>
      <c r="B308" t="s">
        <v>57</v>
      </c>
      <c r="C308" t="s">
        <v>1294</v>
      </c>
      <c r="D308">
        <v>-0.22900000000000001</v>
      </c>
      <c r="E308">
        <v>6</v>
      </c>
      <c r="F308" t="s">
        <v>1295</v>
      </c>
      <c r="G308" t="s">
        <v>64</v>
      </c>
      <c r="H308" t="s">
        <v>40</v>
      </c>
      <c r="I308" t="s">
        <v>228</v>
      </c>
      <c r="J308" t="s">
        <v>1296</v>
      </c>
      <c r="L308" t="s">
        <v>2523</v>
      </c>
      <c r="N308" t="str">
        <f t="shared" si="3"/>
        <v xml:space="preserve"> 0.4233</v>
      </c>
      <c r="Q308">
        <v>0.42330000000000001</v>
      </c>
      <c r="R308">
        <v>6</v>
      </c>
    </row>
    <row r="309" spans="1:18" x14ac:dyDescent="0.2">
      <c r="A309">
        <v>280</v>
      </c>
      <c r="B309" t="s">
        <v>94</v>
      </c>
      <c r="C309" t="s">
        <v>1297</v>
      </c>
      <c r="D309">
        <v>-0.437</v>
      </c>
      <c r="E309">
        <v>7</v>
      </c>
      <c r="F309" t="s">
        <v>740</v>
      </c>
      <c r="G309" t="s">
        <v>64</v>
      </c>
      <c r="H309" t="s">
        <v>40</v>
      </c>
      <c r="I309" t="s">
        <v>228</v>
      </c>
      <c r="J309" t="s">
        <v>1298</v>
      </c>
      <c r="L309" t="s">
        <v>2524</v>
      </c>
      <c r="N309" t="str">
        <f t="shared" si="3"/>
        <v xml:space="preserve"> 0.2085</v>
      </c>
      <c r="Q309">
        <v>0.20849999999999999</v>
      </c>
      <c r="R309">
        <v>7</v>
      </c>
    </row>
    <row r="310" spans="1:18" x14ac:dyDescent="0.2">
      <c r="A310">
        <v>281</v>
      </c>
      <c r="B310" t="s">
        <v>156</v>
      </c>
      <c r="C310" t="s">
        <v>1299</v>
      </c>
      <c r="D310">
        <v>-0.43099999999999999</v>
      </c>
      <c r="E310">
        <v>7</v>
      </c>
      <c r="F310" t="s">
        <v>876</v>
      </c>
      <c r="G310" t="s">
        <v>64</v>
      </c>
      <c r="H310" t="s">
        <v>40</v>
      </c>
      <c r="I310" t="s">
        <v>228</v>
      </c>
      <c r="J310" t="s">
        <v>1300</v>
      </c>
      <c r="L310" t="s">
        <v>2525</v>
      </c>
      <c r="N310" t="str">
        <f t="shared" si="3"/>
        <v xml:space="preserve"> 0.2489</v>
      </c>
      <c r="Q310">
        <v>0.24890000000000001</v>
      </c>
      <c r="R310">
        <v>7</v>
      </c>
    </row>
    <row r="311" spans="1:18" x14ac:dyDescent="0.2">
      <c r="A311">
        <v>282</v>
      </c>
      <c r="B311" t="s">
        <v>37</v>
      </c>
      <c r="C311" t="s">
        <v>1301</v>
      </c>
      <c r="D311">
        <v>-0.91400000000000003</v>
      </c>
      <c r="E311">
        <v>9</v>
      </c>
      <c r="F311" t="s">
        <v>717</v>
      </c>
      <c r="G311" t="s">
        <v>33</v>
      </c>
      <c r="H311" t="s">
        <v>34</v>
      </c>
      <c r="I311" t="s">
        <v>228</v>
      </c>
      <c r="J311" t="s">
        <v>917</v>
      </c>
      <c r="L311" t="s">
        <v>2526</v>
      </c>
      <c r="N311" t="str">
        <f t="shared" si="3"/>
        <v xml:space="preserve"> 0.6105</v>
      </c>
      <c r="Q311">
        <v>0.61050000000000004</v>
      </c>
      <c r="R311">
        <v>9</v>
      </c>
    </row>
    <row r="312" spans="1:18" x14ac:dyDescent="0.2">
      <c r="A312">
        <v>283</v>
      </c>
      <c r="B312" t="s">
        <v>94</v>
      </c>
      <c r="C312" t="s">
        <v>1302</v>
      </c>
      <c r="D312">
        <v>-0.68400000000000005</v>
      </c>
      <c r="E312">
        <v>8</v>
      </c>
      <c r="F312" t="s">
        <v>1303</v>
      </c>
      <c r="G312" t="s">
        <v>64</v>
      </c>
      <c r="H312" t="s">
        <v>40</v>
      </c>
      <c r="I312" t="s">
        <v>228</v>
      </c>
      <c r="J312" t="s">
        <v>1304</v>
      </c>
      <c r="L312" t="s">
        <v>2527</v>
      </c>
      <c r="N312" t="str">
        <f t="shared" si="3"/>
        <v xml:space="preserve"> 0.5750</v>
      </c>
      <c r="Q312">
        <v>0.57499999999999996</v>
      </c>
      <c r="R312">
        <v>8</v>
      </c>
    </row>
    <row r="313" spans="1:18" x14ac:dyDescent="0.2">
      <c r="A313">
        <v>284</v>
      </c>
      <c r="B313" t="s">
        <v>113</v>
      </c>
      <c r="C313" t="s">
        <v>1305</v>
      </c>
      <c r="D313">
        <v>-0.9</v>
      </c>
      <c r="E313">
        <v>9</v>
      </c>
      <c r="F313" t="s">
        <v>675</v>
      </c>
      <c r="G313" t="s">
        <v>64</v>
      </c>
      <c r="H313" t="s">
        <v>65</v>
      </c>
      <c r="I313" t="s">
        <v>228</v>
      </c>
      <c r="J313" t="s">
        <v>981</v>
      </c>
      <c r="L313" t="s">
        <v>2528</v>
      </c>
      <c r="N313" t="str">
        <f t="shared" si="3"/>
        <v xml:space="preserve"> 0.9155</v>
      </c>
      <c r="Q313">
        <v>0.91549999999999998</v>
      </c>
      <c r="R313">
        <v>9</v>
      </c>
    </row>
    <row r="314" spans="1:18" x14ac:dyDescent="0.2">
      <c r="A314">
        <v>285</v>
      </c>
      <c r="B314" t="s">
        <v>52</v>
      </c>
      <c r="C314" t="s">
        <v>1306</v>
      </c>
      <c r="D314">
        <v>-4.9000000000000002E-2</v>
      </c>
      <c r="E314">
        <v>5</v>
      </c>
      <c r="F314" t="s">
        <v>701</v>
      </c>
      <c r="G314" t="s">
        <v>33</v>
      </c>
      <c r="H314" t="s">
        <v>40</v>
      </c>
      <c r="I314" t="s">
        <v>228</v>
      </c>
      <c r="J314" t="s">
        <v>1307</v>
      </c>
      <c r="L314" t="s">
        <v>2529</v>
      </c>
      <c r="N314" t="str">
        <f t="shared" si="3"/>
        <v xml:space="preserve"> 1.0760</v>
      </c>
      <c r="Q314">
        <v>1.0760000000000001</v>
      </c>
      <c r="R314">
        <v>5</v>
      </c>
    </row>
    <row r="315" spans="1:18" x14ac:dyDescent="0.2">
      <c r="A315">
        <v>286</v>
      </c>
      <c r="B315" t="s">
        <v>127</v>
      </c>
      <c r="C315" t="s">
        <v>1308</v>
      </c>
      <c r="D315">
        <v>-0.69199999999999995</v>
      </c>
      <c r="E315">
        <v>8</v>
      </c>
      <c r="F315" t="s">
        <v>1224</v>
      </c>
      <c r="G315" t="s">
        <v>33</v>
      </c>
      <c r="H315" t="s">
        <v>34</v>
      </c>
      <c r="I315" t="s">
        <v>228</v>
      </c>
      <c r="J315" t="s">
        <v>1309</v>
      </c>
      <c r="L315" t="s">
        <v>2530</v>
      </c>
      <c r="N315" t="str">
        <f t="shared" si="3"/>
        <v xml:space="preserve"> 0.7940</v>
      </c>
      <c r="Q315">
        <v>0.79400000000000004</v>
      </c>
      <c r="R315">
        <v>8</v>
      </c>
    </row>
    <row r="316" spans="1:18" x14ac:dyDescent="0.2">
      <c r="A316">
        <v>287</v>
      </c>
      <c r="B316" t="s">
        <v>37</v>
      </c>
      <c r="C316" t="s">
        <v>1310</v>
      </c>
      <c r="D316">
        <v>-0.61099999999999999</v>
      </c>
      <c r="E316">
        <v>8</v>
      </c>
      <c r="F316" t="s">
        <v>909</v>
      </c>
      <c r="G316" t="s">
        <v>33</v>
      </c>
      <c r="H316" t="s">
        <v>34</v>
      </c>
      <c r="I316" t="s">
        <v>228</v>
      </c>
      <c r="J316" t="s">
        <v>1311</v>
      </c>
      <c r="L316" t="s">
        <v>2531</v>
      </c>
      <c r="N316" t="str">
        <f t="shared" si="3"/>
        <v xml:space="preserve"> 0.5983</v>
      </c>
      <c r="Q316">
        <v>0.59830000000000005</v>
      </c>
      <c r="R316">
        <v>8</v>
      </c>
    </row>
    <row r="317" spans="1:18" x14ac:dyDescent="0.2">
      <c r="A317">
        <v>288</v>
      </c>
      <c r="B317" t="s">
        <v>74</v>
      </c>
      <c r="C317" t="s">
        <v>1312</v>
      </c>
      <c r="D317">
        <v>-0.91300000000000003</v>
      </c>
      <c r="E317">
        <v>9</v>
      </c>
      <c r="F317" t="s">
        <v>717</v>
      </c>
      <c r="G317" t="s">
        <v>33</v>
      </c>
      <c r="H317" t="s">
        <v>34</v>
      </c>
      <c r="I317" t="s">
        <v>228</v>
      </c>
      <c r="J317" t="s">
        <v>1313</v>
      </c>
      <c r="L317" t="s">
        <v>2532</v>
      </c>
      <c r="N317" t="str">
        <f t="shared" si="3"/>
        <v xml:space="preserve"> 1.2308</v>
      </c>
      <c r="Q317">
        <v>1.2307999999999999</v>
      </c>
      <c r="R317">
        <v>9</v>
      </c>
    </row>
    <row r="318" spans="1:18" x14ac:dyDescent="0.2">
      <c r="A318">
        <v>289</v>
      </c>
      <c r="B318" t="s">
        <v>123</v>
      </c>
      <c r="C318" t="s">
        <v>1314</v>
      </c>
      <c r="D318">
        <v>-0.91700000000000004</v>
      </c>
      <c r="E318">
        <v>9</v>
      </c>
      <c r="F318" t="s">
        <v>888</v>
      </c>
      <c r="G318" t="s">
        <v>33</v>
      </c>
      <c r="H318" t="s">
        <v>34</v>
      </c>
      <c r="I318" t="s">
        <v>228</v>
      </c>
      <c r="J318" t="s">
        <v>1315</v>
      </c>
      <c r="L318" t="s">
        <v>2533</v>
      </c>
      <c r="N318" t="str">
        <f t="shared" si="3"/>
        <v xml:space="preserve"> 0.8728</v>
      </c>
      <c r="Q318">
        <v>0.87280000000000002</v>
      </c>
      <c r="R318">
        <v>9</v>
      </c>
    </row>
    <row r="319" spans="1:18" x14ac:dyDescent="0.2">
      <c r="A319">
        <v>290</v>
      </c>
      <c r="B319" t="s">
        <v>43</v>
      </c>
      <c r="C319" t="s">
        <v>1316</v>
      </c>
      <c r="D319">
        <v>-0.89800000000000002</v>
      </c>
      <c r="E319">
        <v>9</v>
      </c>
      <c r="F319" t="s">
        <v>675</v>
      </c>
      <c r="G319" t="s">
        <v>33</v>
      </c>
      <c r="H319" t="s">
        <v>34</v>
      </c>
      <c r="I319" t="s">
        <v>228</v>
      </c>
      <c r="J319" t="s">
        <v>894</v>
      </c>
      <c r="L319" t="s">
        <v>2534</v>
      </c>
      <c r="N319" t="str">
        <f t="shared" si="3"/>
        <v xml:space="preserve"> 1.8796</v>
      </c>
      <c r="Q319">
        <v>1.8795999999999999</v>
      </c>
      <c r="R319">
        <v>9</v>
      </c>
    </row>
    <row r="320" spans="1:18" x14ac:dyDescent="0.2">
      <c r="A320">
        <v>291</v>
      </c>
      <c r="B320" t="s">
        <v>37</v>
      </c>
      <c r="C320" t="s">
        <v>1317</v>
      </c>
      <c r="D320">
        <v>-0.91400000000000003</v>
      </c>
      <c r="E320">
        <v>9</v>
      </c>
      <c r="F320" t="s">
        <v>717</v>
      </c>
      <c r="G320" t="s">
        <v>33</v>
      </c>
      <c r="H320" t="s">
        <v>34</v>
      </c>
      <c r="I320" t="s">
        <v>228</v>
      </c>
      <c r="J320" t="s">
        <v>917</v>
      </c>
      <c r="L320" t="s">
        <v>2535</v>
      </c>
      <c r="N320" t="str">
        <f t="shared" si="3"/>
        <v xml:space="preserve"> 1.5093</v>
      </c>
      <c r="Q320">
        <v>1.5093000000000001</v>
      </c>
      <c r="R320">
        <v>9</v>
      </c>
    </row>
    <row r="321" spans="1:18" x14ac:dyDescent="0.2">
      <c r="A321">
        <v>292</v>
      </c>
      <c r="B321" t="s">
        <v>135</v>
      </c>
      <c r="C321" t="s">
        <v>1318</v>
      </c>
      <c r="D321">
        <v>-0.92100000000000004</v>
      </c>
      <c r="E321">
        <v>9</v>
      </c>
      <c r="F321" t="s">
        <v>888</v>
      </c>
      <c r="G321" t="s">
        <v>33</v>
      </c>
      <c r="H321" t="s">
        <v>34</v>
      </c>
      <c r="I321" t="s">
        <v>228</v>
      </c>
      <c r="J321" t="s">
        <v>1319</v>
      </c>
      <c r="L321" t="s">
        <v>2536</v>
      </c>
      <c r="N321" t="str">
        <f t="shared" si="3"/>
        <v xml:space="preserve"> 0.3138</v>
      </c>
      <c r="Q321">
        <v>0.31380000000000002</v>
      </c>
      <c r="R321">
        <v>9</v>
      </c>
    </row>
    <row r="322" spans="1:18" x14ac:dyDescent="0.2">
      <c r="A322">
        <v>293</v>
      </c>
      <c r="B322" t="s">
        <v>113</v>
      </c>
      <c r="C322" t="s">
        <v>1320</v>
      </c>
      <c r="D322">
        <v>-0.81499999999999995</v>
      </c>
      <c r="E322">
        <v>9</v>
      </c>
      <c r="F322" t="s">
        <v>927</v>
      </c>
      <c r="G322" t="s">
        <v>64</v>
      </c>
      <c r="H322" t="s">
        <v>65</v>
      </c>
      <c r="I322" t="s">
        <v>228</v>
      </c>
      <c r="J322" t="s">
        <v>1091</v>
      </c>
      <c r="L322" t="s">
        <v>2537</v>
      </c>
      <c r="N322" t="str">
        <f t="shared" si="3"/>
        <v xml:space="preserve"> 0.8097</v>
      </c>
      <c r="Q322">
        <v>0.80969999999999998</v>
      </c>
      <c r="R322">
        <v>9</v>
      </c>
    </row>
    <row r="323" spans="1:18" x14ac:dyDescent="0.2">
      <c r="A323">
        <v>294</v>
      </c>
      <c r="B323" t="s">
        <v>156</v>
      </c>
      <c r="C323" t="s">
        <v>1321</v>
      </c>
      <c r="D323">
        <v>-0.84499999999999997</v>
      </c>
      <c r="E323">
        <v>9</v>
      </c>
      <c r="F323" t="s">
        <v>1095</v>
      </c>
      <c r="G323" t="s">
        <v>64</v>
      </c>
      <c r="H323" t="s">
        <v>65</v>
      </c>
      <c r="I323" t="s">
        <v>228</v>
      </c>
      <c r="J323" t="s">
        <v>1322</v>
      </c>
      <c r="L323" t="s">
        <v>2538</v>
      </c>
      <c r="N323" t="str">
        <f t="shared" si="3"/>
        <v xml:space="preserve"> 1.2649</v>
      </c>
      <c r="Q323">
        <v>1.2648999999999999</v>
      </c>
      <c r="R323">
        <v>9</v>
      </c>
    </row>
    <row r="324" spans="1:18" x14ac:dyDescent="0.2">
      <c r="A324">
        <v>295</v>
      </c>
      <c r="B324" t="s">
        <v>160</v>
      </c>
      <c r="C324" t="s">
        <v>1323</v>
      </c>
      <c r="D324">
        <v>-0.84899999999999998</v>
      </c>
      <c r="E324">
        <v>9</v>
      </c>
      <c r="F324" t="s">
        <v>1071</v>
      </c>
      <c r="G324" t="s">
        <v>64</v>
      </c>
      <c r="H324" t="s">
        <v>65</v>
      </c>
      <c r="I324" t="s">
        <v>228</v>
      </c>
      <c r="J324" t="s">
        <v>400</v>
      </c>
      <c r="L324" t="s">
        <v>2539</v>
      </c>
      <c r="N324" t="str">
        <f t="shared" si="3"/>
        <v xml:space="preserve"> 1.0342</v>
      </c>
      <c r="Q324">
        <v>1.0342</v>
      </c>
      <c r="R324">
        <v>9</v>
      </c>
    </row>
    <row r="325" spans="1:18" x14ac:dyDescent="0.2">
      <c r="A325">
        <v>296</v>
      </c>
      <c r="B325" t="s">
        <v>113</v>
      </c>
      <c r="C325" t="s">
        <v>1324</v>
      </c>
      <c r="D325">
        <v>-0.81499999999999995</v>
      </c>
      <c r="E325">
        <v>9</v>
      </c>
      <c r="F325" t="s">
        <v>927</v>
      </c>
      <c r="G325" t="s">
        <v>64</v>
      </c>
      <c r="H325" t="s">
        <v>65</v>
      </c>
      <c r="I325" t="s">
        <v>228</v>
      </c>
      <c r="J325" t="s">
        <v>1325</v>
      </c>
      <c r="L325" t="s">
        <v>2540</v>
      </c>
      <c r="N325" t="str">
        <f t="shared" si="3"/>
        <v xml:space="preserve"> 0.9878</v>
      </c>
      <c r="Q325">
        <v>0.98780000000000001</v>
      </c>
      <c r="R325">
        <v>9</v>
      </c>
    </row>
    <row r="326" spans="1:18" x14ac:dyDescent="0.2">
      <c r="A326">
        <v>297</v>
      </c>
      <c r="B326" t="s">
        <v>233</v>
      </c>
      <c r="C326" t="s">
        <v>1326</v>
      </c>
      <c r="D326">
        <v>-0.59599999999999997</v>
      </c>
      <c r="E326">
        <v>8</v>
      </c>
      <c r="F326" t="s">
        <v>1327</v>
      </c>
      <c r="G326" t="s">
        <v>64</v>
      </c>
      <c r="H326" t="s">
        <v>40</v>
      </c>
      <c r="I326" t="s">
        <v>228</v>
      </c>
      <c r="J326" t="s">
        <v>1328</v>
      </c>
      <c r="L326" t="s">
        <v>2541</v>
      </c>
      <c r="N326" t="str">
        <f t="shared" si="3"/>
        <v xml:space="preserve"> 1.2006</v>
      </c>
      <c r="Q326">
        <v>1.2005999999999999</v>
      </c>
      <c r="R326">
        <v>8</v>
      </c>
    </row>
    <row r="327" spans="1:18" x14ac:dyDescent="0.2">
      <c r="A327">
        <v>298</v>
      </c>
      <c r="B327" t="s">
        <v>30</v>
      </c>
      <c r="C327" t="s">
        <v>1329</v>
      </c>
      <c r="D327">
        <v>-0.873</v>
      </c>
      <c r="E327">
        <v>9</v>
      </c>
      <c r="F327" t="s">
        <v>1045</v>
      </c>
      <c r="G327" t="s">
        <v>64</v>
      </c>
      <c r="H327" t="s">
        <v>65</v>
      </c>
      <c r="I327" t="s">
        <v>228</v>
      </c>
      <c r="J327" t="s">
        <v>1330</v>
      </c>
      <c r="L327" t="s">
        <v>2542</v>
      </c>
      <c r="N327" t="str">
        <f t="shared" ref="N327:N390" si="4">RIGHT((LEFT(L327,11)),7)</f>
        <v xml:space="preserve"> 0.4819</v>
      </c>
      <c r="Q327">
        <v>0.4819</v>
      </c>
      <c r="R327">
        <v>9</v>
      </c>
    </row>
    <row r="328" spans="1:18" x14ac:dyDescent="0.2">
      <c r="A328">
        <v>299</v>
      </c>
      <c r="B328" t="s">
        <v>94</v>
      </c>
      <c r="C328" t="s">
        <v>1331</v>
      </c>
      <c r="D328">
        <v>-0.79800000000000004</v>
      </c>
      <c r="E328">
        <v>9</v>
      </c>
      <c r="F328" t="s">
        <v>1208</v>
      </c>
      <c r="G328" t="s">
        <v>64</v>
      </c>
      <c r="H328" t="s">
        <v>65</v>
      </c>
      <c r="I328" t="s">
        <v>228</v>
      </c>
      <c r="J328" t="s">
        <v>1332</v>
      </c>
      <c r="L328" t="s">
        <v>2543</v>
      </c>
      <c r="N328" t="str">
        <f t="shared" si="4"/>
        <v xml:space="preserve"> 0.9141</v>
      </c>
      <c r="Q328">
        <v>0.91410000000000002</v>
      </c>
      <c r="R328">
        <v>9</v>
      </c>
    </row>
    <row r="329" spans="1:18" x14ac:dyDescent="0.2">
      <c r="A329">
        <v>300</v>
      </c>
      <c r="B329" t="s">
        <v>160</v>
      </c>
      <c r="C329" t="s">
        <v>1333</v>
      </c>
      <c r="D329">
        <v>-0.69399999999999995</v>
      </c>
      <c r="E329">
        <v>8</v>
      </c>
      <c r="F329" t="s">
        <v>1334</v>
      </c>
      <c r="G329" t="s">
        <v>64</v>
      </c>
      <c r="H329" t="s">
        <v>40</v>
      </c>
      <c r="I329" t="s">
        <v>228</v>
      </c>
      <c r="J329" t="s">
        <v>1335</v>
      </c>
      <c r="L329" t="s">
        <v>2544</v>
      </c>
      <c r="N329" t="str">
        <f t="shared" si="4"/>
        <v xml:space="preserve"> 1.3545</v>
      </c>
      <c r="Q329">
        <v>1.3545</v>
      </c>
      <c r="R329">
        <v>8</v>
      </c>
    </row>
    <row r="330" spans="1:18" x14ac:dyDescent="0.2">
      <c r="A330">
        <v>301</v>
      </c>
      <c r="B330" t="s">
        <v>30</v>
      </c>
      <c r="C330" t="s">
        <v>1336</v>
      </c>
      <c r="D330">
        <v>-0.92200000000000004</v>
      </c>
      <c r="E330">
        <v>9</v>
      </c>
      <c r="F330" t="s">
        <v>888</v>
      </c>
      <c r="G330" t="s">
        <v>64</v>
      </c>
      <c r="H330" t="s">
        <v>65</v>
      </c>
      <c r="I330" t="s">
        <v>228</v>
      </c>
      <c r="J330" t="s">
        <v>677</v>
      </c>
      <c r="L330" t="s">
        <v>2545</v>
      </c>
      <c r="N330" t="str">
        <f t="shared" si="4"/>
        <v xml:space="preserve"> 1.0996</v>
      </c>
      <c r="Q330">
        <v>1.0995999999999999</v>
      </c>
      <c r="R330">
        <v>9</v>
      </c>
    </row>
    <row r="331" spans="1:18" x14ac:dyDescent="0.2">
      <c r="A331">
        <v>302</v>
      </c>
      <c r="B331" t="s">
        <v>142</v>
      </c>
      <c r="C331" t="s">
        <v>1337</v>
      </c>
      <c r="D331">
        <v>1.4999999999999999E-2</v>
      </c>
      <c r="E331">
        <v>5</v>
      </c>
      <c r="F331" t="s">
        <v>1338</v>
      </c>
      <c r="G331" t="s">
        <v>64</v>
      </c>
      <c r="H331" t="s">
        <v>40</v>
      </c>
      <c r="I331" t="s">
        <v>228</v>
      </c>
      <c r="J331" t="s">
        <v>1339</v>
      </c>
      <c r="L331" t="s">
        <v>2546</v>
      </c>
      <c r="N331" t="str">
        <f t="shared" si="4"/>
        <v xml:space="preserve"> 0.8461</v>
      </c>
      <c r="Q331">
        <v>0.84609999999999996</v>
      </c>
      <c r="R331">
        <v>5</v>
      </c>
    </row>
    <row r="332" spans="1:18" x14ac:dyDescent="0.2">
      <c r="A332">
        <v>303</v>
      </c>
      <c r="B332" t="s">
        <v>43</v>
      </c>
      <c r="C332" t="s">
        <v>1340</v>
      </c>
      <c r="D332">
        <v>-0.89800000000000002</v>
      </c>
      <c r="E332">
        <v>9</v>
      </c>
      <c r="F332" t="s">
        <v>675</v>
      </c>
      <c r="G332" t="s">
        <v>64</v>
      </c>
      <c r="H332" t="s">
        <v>65</v>
      </c>
      <c r="I332" t="s">
        <v>228</v>
      </c>
      <c r="J332" t="s">
        <v>894</v>
      </c>
      <c r="L332" t="s">
        <v>2547</v>
      </c>
      <c r="N332" t="str">
        <f t="shared" si="4"/>
        <v xml:space="preserve"> 1.0240</v>
      </c>
      <c r="Q332">
        <v>1.024</v>
      </c>
      <c r="R332">
        <v>9</v>
      </c>
    </row>
    <row r="333" spans="1:18" x14ac:dyDescent="0.2">
      <c r="A333">
        <v>304</v>
      </c>
      <c r="B333" t="s">
        <v>43</v>
      </c>
      <c r="C333" t="s">
        <v>1341</v>
      </c>
      <c r="D333">
        <v>-0.65500000000000003</v>
      </c>
      <c r="E333">
        <v>8</v>
      </c>
      <c r="F333" t="s">
        <v>1303</v>
      </c>
      <c r="G333" t="s">
        <v>64</v>
      </c>
      <c r="H333" t="s">
        <v>40</v>
      </c>
      <c r="I333" t="s">
        <v>228</v>
      </c>
      <c r="J333" t="s">
        <v>1342</v>
      </c>
      <c r="L333" t="s">
        <v>2548</v>
      </c>
      <c r="N333" t="str">
        <f t="shared" si="4"/>
        <v xml:space="preserve"> 1.2344</v>
      </c>
      <c r="Q333">
        <v>1.2343999999999999</v>
      </c>
      <c r="R333">
        <v>8</v>
      </c>
    </row>
    <row r="334" spans="1:18" x14ac:dyDescent="0.2">
      <c r="A334">
        <v>305</v>
      </c>
      <c r="B334" t="s">
        <v>118</v>
      </c>
      <c r="C334" t="s">
        <v>1343</v>
      </c>
      <c r="D334">
        <v>-0.52100000000000002</v>
      </c>
      <c r="E334">
        <v>8</v>
      </c>
      <c r="F334" t="s">
        <v>882</v>
      </c>
      <c r="G334" t="s">
        <v>64</v>
      </c>
      <c r="H334" t="s">
        <v>40</v>
      </c>
      <c r="I334" t="s">
        <v>228</v>
      </c>
      <c r="J334" t="s">
        <v>1344</v>
      </c>
      <c r="L334" t="s">
        <v>2549</v>
      </c>
      <c r="N334" t="str">
        <f t="shared" si="4"/>
        <v xml:space="preserve"> 1.3546</v>
      </c>
      <c r="Q334">
        <v>1.3546</v>
      </c>
      <c r="R334">
        <v>8</v>
      </c>
    </row>
    <row r="335" spans="1:18" x14ac:dyDescent="0.2">
      <c r="A335">
        <v>306</v>
      </c>
      <c r="B335" t="s">
        <v>57</v>
      </c>
      <c r="C335" t="s">
        <v>1345</v>
      </c>
      <c r="D335">
        <v>-0.80200000000000005</v>
      </c>
      <c r="E335">
        <v>9</v>
      </c>
      <c r="F335" t="s">
        <v>1208</v>
      </c>
      <c r="G335" t="s">
        <v>64</v>
      </c>
      <c r="H335" t="s">
        <v>65</v>
      </c>
      <c r="I335" t="s">
        <v>228</v>
      </c>
      <c r="J335" t="s">
        <v>1346</v>
      </c>
      <c r="L335" t="s">
        <v>2550</v>
      </c>
      <c r="N335" t="str">
        <f t="shared" si="4"/>
        <v xml:space="preserve"> 1.1105</v>
      </c>
      <c r="Q335">
        <v>1.1105</v>
      </c>
      <c r="R335">
        <v>9</v>
      </c>
    </row>
    <row r="336" spans="1:18" x14ac:dyDescent="0.2">
      <c r="A336">
        <v>307</v>
      </c>
      <c r="B336" t="s">
        <v>52</v>
      </c>
      <c r="C336" t="s">
        <v>1347</v>
      </c>
      <c r="D336">
        <v>-0.92300000000000004</v>
      </c>
      <c r="E336">
        <v>9</v>
      </c>
      <c r="F336" t="s">
        <v>888</v>
      </c>
      <c r="G336" t="s">
        <v>64</v>
      </c>
      <c r="H336" t="s">
        <v>65</v>
      </c>
      <c r="I336" t="s">
        <v>228</v>
      </c>
      <c r="J336" t="s">
        <v>718</v>
      </c>
      <c r="L336" t="s">
        <v>2551</v>
      </c>
      <c r="N336" t="str">
        <f t="shared" si="4"/>
        <v xml:space="preserve"> 1.2248</v>
      </c>
      <c r="Q336">
        <v>1.2248000000000001</v>
      </c>
      <c r="R336">
        <v>9</v>
      </c>
    </row>
    <row r="337" spans="1:18" x14ac:dyDescent="0.2">
      <c r="A337">
        <v>308</v>
      </c>
      <c r="B337" t="s">
        <v>52</v>
      </c>
      <c r="C337" t="s">
        <v>1348</v>
      </c>
      <c r="D337">
        <v>-0.72</v>
      </c>
      <c r="E337">
        <v>8</v>
      </c>
      <c r="F337" t="s">
        <v>1160</v>
      </c>
      <c r="G337" t="s">
        <v>64</v>
      </c>
      <c r="H337" t="s">
        <v>40</v>
      </c>
      <c r="I337" t="s">
        <v>228</v>
      </c>
      <c r="J337" t="s">
        <v>1349</v>
      </c>
      <c r="L337" t="s">
        <v>2552</v>
      </c>
      <c r="N337" t="str">
        <f t="shared" si="4"/>
        <v xml:space="preserve"> 1.9985</v>
      </c>
      <c r="Q337">
        <v>1.9984999999999999</v>
      </c>
      <c r="R337">
        <v>8</v>
      </c>
    </row>
    <row r="338" spans="1:18" x14ac:dyDescent="0.2">
      <c r="A338">
        <v>309</v>
      </c>
      <c r="B338" t="s">
        <v>52</v>
      </c>
      <c r="C338" t="s">
        <v>1350</v>
      </c>
      <c r="D338">
        <v>-0.499</v>
      </c>
      <c r="E338">
        <v>7</v>
      </c>
      <c r="F338" t="s">
        <v>882</v>
      </c>
      <c r="G338" t="s">
        <v>64</v>
      </c>
      <c r="H338" t="s">
        <v>40</v>
      </c>
      <c r="I338" t="s">
        <v>228</v>
      </c>
      <c r="J338" t="s">
        <v>1351</v>
      </c>
      <c r="L338" t="s">
        <v>2553</v>
      </c>
      <c r="N338" t="str">
        <f t="shared" si="4"/>
        <v xml:space="preserve"> 1.6244</v>
      </c>
      <c r="Q338">
        <v>1.6244000000000001</v>
      </c>
      <c r="R338">
        <v>7</v>
      </c>
    </row>
    <row r="339" spans="1:18" x14ac:dyDescent="0.2">
      <c r="A339">
        <v>310</v>
      </c>
      <c r="B339" t="s">
        <v>30</v>
      </c>
      <c r="C339" t="s">
        <v>1352</v>
      </c>
      <c r="D339">
        <v>-0.621</v>
      </c>
      <c r="E339">
        <v>8</v>
      </c>
      <c r="F339" t="s">
        <v>909</v>
      </c>
      <c r="G339" t="s">
        <v>64</v>
      </c>
      <c r="H339" t="s">
        <v>40</v>
      </c>
      <c r="I339" t="s">
        <v>228</v>
      </c>
      <c r="J339" t="s">
        <v>1353</v>
      </c>
      <c r="L339" t="s">
        <v>2554</v>
      </c>
      <c r="N339" t="str">
        <f t="shared" si="4"/>
        <v xml:space="preserve"> 1.8888</v>
      </c>
      <c r="Q339">
        <v>1.8888</v>
      </c>
      <c r="R339">
        <v>8</v>
      </c>
    </row>
    <row r="340" spans="1:18" x14ac:dyDescent="0.2">
      <c r="A340">
        <v>311</v>
      </c>
      <c r="B340" t="s">
        <v>52</v>
      </c>
      <c r="C340" t="s">
        <v>1354</v>
      </c>
      <c r="D340">
        <v>-0.92300000000000004</v>
      </c>
      <c r="E340">
        <v>9</v>
      </c>
      <c r="F340" t="s">
        <v>888</v>
      </c>
      <c r="G340" t="s">
        <v>64</v>
      </c>
      <c r="H340" t="s">
        <v>65</v>
      </c>
      <c r="I340" t="s">
        <v>228</v>
      </c>
      <c r="J340" t="s">
        <v>718</v>
      </c>
      <c r="L340" t="s">
        <v>2555</v>
      </c>
      <c r="N340" t="str">
        <f t="shared" si="4"/>
        <v xml:space="preserve"> 2.7608</v>
      </c>
      <c r="Q340">
        <v>2.7608000000000001</v>
      </c>
      <c r="R340">
        <v>9</v>
      </c>
    </row>
    <row r="341" spans="1:18" x14ac:dyDescent="0.2">
      <c r="A341">
        <v>312</v>
      </c>
      <c r="B341" t="s">
        <v>160</v>
      </c>
      <c r="C341" t="s">
        <v>1355</v>
      </c>
      <c r="D341">
        <v>-0.84899999999999998</v>
      </c>
      <c r="E341">
        <v>9</v>
      </c>
      <c r="F341" t="s">
        <v>1071</v>
      </c>
      <c r="G341" t="s">
        <v>64</v>
      </c>
      <c r="H341" t="s">
        <v>65</v>
      </c>
      <c r="I341" t="s">
        <v>228</v>
      </c>
      <c r="J341" t="s">
        <v>400</v>
      </c>
      <c r="L341" t="s">
        <v>2556</v>
      </c>
      <c r="N341" t="str">
        <f t="shared" si="4"/>
        <v xml:space="preserve"> 3.1528</v>
      </c>
      <c r="Q341">
        <v>3.1528</v>
      </c>
      <c r="R341">
        <v>9</v>
      </c>
    </row>
    <row r="342" spans="1:18" x14ac:dyDescent="0.2">
      <c r="A342">
        <v>313</v>
      </c>
      <c r="B342" t="s">
        <v>52</v>
      </c>
      <c r="C342" t="s">
        <v>1356</v>
      </c>
      <c r="D342">
        <v>-0.44400000000000001</v>
      </c>
      <c r="E342">
        <v>7</v>
      </c>
      <c r="F342" t="s">
        <v>876</v>
      </c>
      <c r="G342" t="s">
        <v>64</v>
      </c>
      <c r="H342" t="s">
        <v>40</v>
      </c>
      <c r="I342" t="s">
        <v>228</v>
      </c>
      <c r="J342" t="s">
        <v>1357</v>
      </c>
      <c r="L342" t="s">
        <v>2557</v>
      </c>
      <c r="N342" t="str">
        <f t="shared" si="4"/>
        <v xml:space="preserve"> 3.0861</v>
      </c>
      <c r="Q342">
        <v>3.0861000000000001</v>
      </c>
      <c r="R342">
        <v>7</v>
      </c>
    </row>
    <row r="343" spans="1:18" x14ac:dyDescent="0.2">
      <c r="A343">
        <v>314</v>
      </c>
      <c r="B343" t="s">
        <v>142</v>
      </c>
      <c r="C343" t="s">
        <v>1358</v>
      </c>
      <c r="D343">
        <v>-0.83099999999999996</v>
      </c>
      <c r="E343">
        <v>9</v>
      </c>
      <c r="F343" t="s">
        <v>1095</v>
      </c>
      <c r="G343" t="s">
        <v>64</v>
      </c>
      <c r="H343" t="s">
        <v>65</v>
      </c>
      <c r="I343" t="s">
        <v>228</v>
      </c>
      <c r="J343" t="s">
        <v>1359</v>
      </c>
      <c r="L343" t="s">
        <v>2558</v>
      </c>
      <c r="N343" t="str">
        <f t="shared" si="4"/>
        <v xml:space="preserve"> 3.3795</v>
      </c>
      <c r="Q343">
        <v>3.3795000000000002</v>
      </c>
      <c r="R343">
        <v>9</v>
      </c>
    </row>
    <row r="344" spans="1:18" x14ac:dyDescent="0.2">
      <c r="A344">
        <v>315</v>
      </c>
      <c r="B344" t="s">
        <v>142</v>
      </c>
      <c r="C344" t="s">
        <v>1360</v>
      </c>
      <c r="D344">
        <v>-0.92400000000000004</v>
      </c>
      <c r="E344">
        <v>9</v>
      </c>
      <c r="F344" t="s">
        <v>888</v>
      </c>
      <c r="G344" t="s">
        <v>64</v>
      </c>
      <c r="H344" t="s">
        <v>65</v>
      </c>
      <c r="I344" t="s">
        <v>228</v>
      </c>
      <c r="J344" t="s">
        <v>1361</v>
      </c>
      <c r="L344" t="s">
        <v>2559</v>
      </c>
      <c r="N344" t="str">
        <f t="shared" si="4"/>
        <v xml:space="preserve"> 3.8718</v>
      </c>
      <c r="Q344">
        <v>3.8717999999999999</v>
      </c>
      <c r="R344">
        <v>9</v>
      </c>
    </row>
    <row r="345" spans="1:18" x14ac:dyDescent="0.2">
      <c r="A345">
        <v>316</v>
      </c>
      <c r="B345" t="s">
        <v>101</v>
      </c>
      <c r="C345" t="s">
        <v>1362</v>
      </c>
      <c r="D345">
        <v>-0.90400000000000003</v>
      </c>
      <c r="E345">
        <v>9</v>
      </c>
      <c r="F345" t="s">
        <v>717</v>
      </c>
      <c r="G345" t="s">
        <v>64</v>
      </c>
      <c r="H345" t="s">
        <v>65</v>
      </c>
      <c r="I345" t="s">
        <v>228</v>
      </c>
      <c r="J345" t="s">
        <v>997</v>
      </c>
      <c r="L345" t="s">
        <v>2560</v>
      </c>
      <c r="N345" t="str">
        <f t="shared" si="4"/>
        <v xml:space="preserve"> 4.5410</v>
      </c>
      <c r="Q345">
        <v>4.5410000000000004</v>
      </c>
      <c r="R345">
        <v>9</v>
      </c>
    </row>
    <row r="346" spans="1:18" x14ac:dyDescent="0.2">
      <c r="A346">
        <v>317</v>
      </c>
      <c r="B346" t="s">
        <v>135</v>
      </c>
      <c r="C346" t="s">
        <v>1363</v>
      </c>
      <c r="D346">
        <v>-0.76400000000000001</v>
      </c>
      <c r="E346">
        <v>9</v>
      </c>
      <c r="F346" t="s">
        <v>1364</v>
      </c>
      <c r="G346" t="s">
        <v>64</v>
      </c>
      <c r="H346" t="s">
        <v>65</v>
      </c>
      <c r="I346" t="s">
        <v>228</v>
      </c>
      <c r="J346" t="s">
        <v>1365</v>
      </c>
      <c r="L346" t="s">
        <v>2561</v>
      </c>
      <c r="N346" t="str">
        <f t="shared" si="4"/>
        <v xml:space="preserve"> 4.7533</v>
      </c>
      <c r="Q346">
        <v>4.7533000000000003</v>
      </c>
      <c r="R346">
        <v>9</v>
      </c>
    </row>
    <row r="347" spans="1:18" x14ac:dyDescent="0.2">
      <c r="A347">
        <v>318</v>
      </c>
      <c r="B347" t="s">
        <v>57</v>
      </c>
      <c r="C347" t="s">
        <v>1366</v>
      </c>
      <c r="D347">
        <v>-0.80200000000000005</v>
      </c>
      <c r="E347">
        <v>9</v>
      </c>
      <c r="F347" t="s">
        <v>1208</v>
      </c>
      <c r="G347" t="s">
        <v>64</v>
      </c>
      <c r="H347" t="s">
        <v>65</v>
      </c>
      <c r="I347" t="s">
        <v>228</v>
      </c>
      <c r="J347" t="s">
        <v>1367</v>
      </c>
      <c r="L347" t="s">
        <v>2562</v>
      </c>
      <c r="N347" t="str">
        <f t="shared" si="4"/>
        <v xml:space="preserve"> 4.6000</v>
      </c>
      <c r="Q347">
        <v>4.5999999999999996</v>
      </c>
      <c r="R347">
        <v>9</v>
      </c>
    </row>
    <row r="348" spans="1:18" x14ac:dyDescent="0.2">
      <c r="A348">
        <v>319</v>
      </c>
      <c r="B348" t="s">
        <v>43</v>
      </c>
      <c r="C348" t="s">
        <v>1368</v>
      </c>
      <c r="D348">
        <v>-0.81100000000000005</v>
      </c>
      <c r="E348">
        <v>9</v>
      </c>
      <c r="F348" t="s">
        <v>1208</v>
      </c>
      <c r="G348" t="s">
        <v>64</v>
      </c>
      <c r="H348" t="s">
        <v>65</v>
      </c>
      <c r="I348" t="s">
        <v>228</v>
      </c>
      <c r="J348" t="s">
        <v>1369</v>
      </c>
      <c r="L348" t="s">
        <v>2563</v>
      </c>
      <c r="N348" t="str">
        <f t="shared" si="4"/>
        <v xml:space="preserve"> 5.1642</v>
      </c>
      <c r="Q348">
        <v>5.1642000000000001</v>
      </c>
      <c r="R348">
        <v>9</v>
      </c>
    </row>
    <row r="349" spans="1:18" x14ac:dyDescent="0.2">
      <c r="A349">
        <v>320</v>
      </c>
      <c r="B349" t="s">
        <v>160</v>
      </c>
      <c r="C349" t="s">
        <v>1370</v>
      </c>
      <c r="D349">
        <v>-0.67800000000000005</v>
      </c>
      <c r="E349">
        <v>8</v>
      </c>
      <c r="F349" t="s">
        <v>1371</v>
      </c>
      <c r="G349" t="s">
        <v>64</v>
      </c>
      <c r="H349" t="s">
        <v>40</v>
      </c>
      <c r="I349" t="s">
        <v>228</v>
      </c>
      <c r="J349" t="s">
        <v>1372</v>
      </c>
      <c r="L349" t="s">
        <v>2564</v>
      </c>
      <c r="N349" t="str">
        <f t="shared" si="4"/>
        <v xml:space="preserve"> 5.1477</v>
      </c>
      <c r="Q349">
        <v>5.1477000000000004</v>
      </c>
      <c r="R349">
        <v>8</v>
      </c>
    </row>
    <row r="350" spans="1:18" x14ac:dyDescent="0.2">
      <c r="A350">
        <v>321</v>
      </c>
      <c r="B350" t="s">
        <v>156</v>
      </c>
      <c r="C350" t="s">
        <v>1373</v>
      </c>
      <c r="D350">
        <v>-0.81699999999999995</v>
      </c>
      <c r="E350">
        <v>9</v>
      </c>
      <c r="F350" t="s">
        <v>1100</v>
      </c>
      <c r="G350" t="s">
        <v>64</v>
      </c>
      <c r="H350" t="s">
        <v>65</v>
      </c>
      <c r="I350" t="s">
        <v>165</v>
      </c>
      <c r="J350" t="s">
        <v>1374</v>
      </c>
      <c r="L350" t="s">
        <v>2565</v>
      </c>
      <c r="N350" t="str">
        <f t="shared" si="4"/>
        <v xml:space="preserve"> 4.7961</v>
      </c>
      <c r="Q350">
        <v>4.7961</v>
      </c>
      <c r="R350">
        <v>9</v>
      </c>
    </row>
    <row r="351" spans="1:18" x14ac:dyDescent="0.2">
      <c r="A351">
        <v>322</v>
      </c>
      <c r="B351" t="s">
        <v>94</v>
      </c>
      <c r="C351" t="s">
        <v>1375</v>
      </c>
      <c r="D351">
        <v>-0.71799999999999997</v>
      </c>
      <c r="E351">
        <v>8</v>
      </c>
      <c r="F351" t="s">
        <v>1062</v>
      </c>
      <c r="G351" t="s">
        <v>64</v>
      </c>
      <c r="H351" t="s">
        <v>40</v>
      </c>
      <c r="I351" t="s">
        <v>165</v>
      </c>
      <c r="J351" t="s">
        <v>1376</v>
      </c>
      <c r="L351" t="s">
        <v>2566</v>
      </c>
      <c r="N351" t="str">
        <f t="shared" si="4"/>
        <v xml:space="preserve"> 5.0519</v>
      </c>
      <c r="Q351">
        <v>5.0518999999999998</v>
      </c>
      <c r="R351">
        <v>8</v>
      </c>
    </row>
    <row r="352" spans="1:18" x14ac:dyDescent="0.2">
      <c r="A352">
        <v>323</v>
      </c>
      <c r="B352" t="s">
        <v>127</v>
      </c>
      <c r="C352" t="s">
        <v>1377</v>
      </c>
      <c r="D352">
        <v>-0.60399999999999998</v>
      </c>
      <c r="E352">
        <v>8</v>
      </c>
      <c r="F352" t="s">
        <v>909</v>
      </c>
      <c r="G352" t="s">
        <v>64</v>
      </c>
      <c r="H352" t="s">
        <v>40</v>
      </c>
      <c r="I352" t="s">
        <v>165</v>
      </c>
      <c r="J352" t="s">
        <v>1378</v>
      </c>
      <c r="L352" t="s">
        <v>2567</v>
      </c>
      <c r="N352" t="str">
        <f t="shared" si="4"/>
        <v xml:space="preserve"> 4.4039</v>
      </c>
      <c r="Q352">
        <v>4.4039000000000001</v>
      </c>
      <c r="R352">
        <v>8</v>
      </c>
    </row>
    <row r="353" spans="1:18" x14ac:dyDescent="0.2">
      <c r="A353">
        <v>324</v>
      </c>
      <c r="B353" t="s">
        <v>30</v>
      </c>
      <c r="C353" t="s">
        <v>1379</v>
      </c>
      <c r="D353">
        <v>-0.77</v>
      </c>
      <c r="E353">
        <v>9</v>
      </c>
      <c r="F353" t="s">
        <v>1364</v>
      </c>
      <c r="G353" t="s">
        <v>64</v>
      </c>
      <c r="H353" t="s">
        <v>65</v>
      </c>
      <c r="I353" t="s">
        <v>165</v>
      </c>
      <c r="J353" t="s">
        <v>1380</v>
      </c>
      <c r="L353" t="s">
        <v>2568</v>
      </c>
      <c r="N353" t="str">
        <f t="shared" si="4"/>
        <v xml:space="preserve"> 3.2859</v>
      </c>
      <c r="Q353">
        <v>3.2858999999999998</v>
      </c>
      <c r="R353">
        <v>9</v>
      </c>
    </row>
    <row r="354" spans="1:18" x14ac:dyDescent="0.2">
      <c r="A354">
        <v>325</v>
      </c>
      <c r="B354" t="s">
        <v>43</v>
      </c>
      <c r="C354" t="s">
        <v>1381</v>
      </c>
      <c r="D354">
        <v>-0.81</v>
      </c>
      <c r="E354">
        <v>9</v>
      </c>
      <c r="F354" t="s">
        <v>1208</v>
      </c>
      <c r="G354" t="s">
        <v>64</v>
      </c>
      <c r="H354" t="s">
        <v>65</v>
      </c>
      <c r="I354" t="s">
        <v>165</v>
      </c>
      <c r="J354" t="s">
        <v>67</v>
      </c>
      <c r="L354" t="s">
        <v>2569</v>
      </c>
      <c r="N354" t="str">
        <f t="shared" si="4"/>
        <v xml:space="preserve"> 2.9199</v>
      </c>
      <c r="Q354">
        <v>2.9199000000000002</v>
      </c>
      <c r="R354">
        <v>9</v>
      </c>
    </row>
    <row r="355" spans="1:18" x14ac:dyDescent="0.2">
      <c r="A355">
        <v>326</v>
      </c>
      <c r="B355" t="s">
        <v>156</v>
      </c>
      <c r="C355" t="s">
        <v>1382</v>
      </c>
      <c r="D355">
        <v>-0.58299999999999996</v>
      </c>
      <c r="E355">
        <v>8</v>
      </c>
      <c r="F355" t="s">
        <v>924</v>
      </c>
      <c r="G355" t="s">
        <v>64</v>
      </c>
      <c r="H355" t="s">
        <v>40</v>
      </c>
      <c r="I355" t="s">
        <v>228</v>
      </c>
      <c r="J355" t="s">
        <v>1383</v>
      </c>
      <c r="L355" t="s">
        <v>2570</v>
      </c>
      <c r="N355" t="str">
        <f t="shared" si="4"/>
        <v xml:space="preserve"> 3.0052</v>
      </c>
      <c r="Q355">
        <v>3.0051999999999999</v>
      </c>
      <c r="R355">
        <v>8</v>
      </c>
    </row>
    <row r="356" spans="1:18" x14ac:dyDescent="0.2">
      <c r="A356">
        <v>327</v>
      </c>
      <c r="B356" t="s">
        <v>52</v>
      </c>
      <c r="C356" t="s">
        <v>1384</v>
      </c>
      <c r="D356">
        <v>-0.245</v>
      </c>
      <c r="E356">
        <v>6</v>
      </c>
      <c r="F356" t="s">
        <v>726</v>
      </c>
      <c r="G356" t="s">
        <v>33</v>
      </c>
      <c r="H356" t="s">
        <v>40</v>
      </c>
      <c r="I356" t="s">
        <v>228</v>
      </c>
      <c r="J356" t="s">
        <v>1385</v>
      </c>
      <c r="L356" t="s">
        <v>2571</v>
      </c>
      <c r="N356" t="str">
        <f t="shared" si="4"/>
        <v xml:space="preserve"> 3.4713</v>
      </c>
      <c r="Q356">
        <v>3.4712999999999998</v>
      </c>
      <c r="R356">
        <v>6</v>
      </c>
    </row>
    <row r="357" spans="1:18" x14ac:dyDescent="0.2">
      <c r="A357">
        <v>328</v>
      </c>
      <c r="B357" t="s">
        <v>57</v>
      </c>
      <c r="C357" t="s">
        <v>1386</v>
      </c>
      <c r="D357">
        <v>-0.32400000000000001</v>
      </c>
      <c r="E357">
        <v>7</v>
      </c>
      <c r="F357" t="s">
        <v>901</v>
      </c>
      <c r="G357" t="s">
        <v>64</v>
      </c>
      <c r="H357" t="s">
        <v>40</v>
      </c>
      <c r="I357" t="s">
        <v>228</v>
      </c>
      <c r="J357" t="s">
        <v>1387</v>
      </c>
      <c r="L357" t="s">
        <v>2572</v>
      </c>
      <c r="N357" t="str">
        <f t="shared" si="4"/>
        <v xml:space="preserve"> 2.4658</v>
      </c>
      <c r="Q357">
        <v>2.4658000000000002</v>
      </c>
      <c r="R357">
        <v>7</v>
      </c>
    </row>
    <row r="358" spans="1:18" x14ac:dyDescent="0.2">
      <c r="A358">
        <v>329</v>
      </c>
      <c r="B358" t="s">
        <v>127</v>
      </c>
      <c r="C358" t="s">
        <v>1388</v>
      </c>
      <c r="D358">
        <v>-0.58199999999999996</v>
      </c>
      <c r="E358">
        <v>8</v>
      </c>
      <c r="F358" t="s">
        <v>924</v>
      </c>
      <c r="G358" t="s">
        <v>64</v>
      </c>
      <c r="H358" t="s">
        <v>40</v>
      </c>
      <c r="I358" t="s">
        <v>228</v>
      </c>
      <c r="J358" t="s">
        <v>1389</v>
      </c>
      <c r="L358" t="s">
        <v>2573</v>
      </c>
      <c r="N358" t="str">
        <f t="shared" si="4"/>
        <v xml:space="preserve"> 3.1157</v>
      </c>
      <c r="Q358">
        <v>3.1156999999999999</v>
      </c>
      <c r="R358">
        <v>8</v>
      </c>
    </row>
    <row r="359" spans="1:18" x14ac:dyDescent="0.2">
      <c r="A359">
        <v>330</v>
      </c>
      <c r="B359" t="s">
        <v>94</v>
      </c>
      <c r="C359" t="s">
        <v>1390</v>
      </c>
      <c r="D359">
        <v>-0.27500000000000002</v>
      </c>
      <c r="E359">
        <v>6</v>
      </c>
      <c r="F359" t="s">
        <v>723</v>
      </c>
      <c r="G359" t="s">
        <v>64</v>
      </c>
      <c r="H359" t="s">
        <v>40</v>
      </c>
      <c r="I359" t="s">
        <v>228</v>
      </c>
      <c r="J359" t="s">
        <v>1391</v>
      </c>
      <c r="L359" t="s">
        <v>2574</v>
      </c>
      <c r="N359" t="str">
        <f t="shared" si="4"/>
        <v xml:space="preserve"> 2.6150</v>
      </c>
      <c r="Q359">
        <v>2.6150000000000002</v>
      </c>
      <c r="R359">
        <v>6</v>
      </c>
    </row>
    <row r="360" spans="1:18" x14ac:dyDescent="0.2">
      <c r="A360">
        <v>331</v>
      </c>
      <c r="B360" t="s">
        <v>135</v>
      </c>
      <c r="C360" t="s">
        <v>1392</v>
      </c>
      <c r="D360">
        <v>-0.86899999999999999</v>
      </c>
      <c r="E360">
        <v>9</v>
      </c>
      <c r="F360" t="s">
        <v>1059</v>
      </c>
      <c r="G360" t="s">
        <v>64</v>
      </c>
      <c r="H360" t="s">
        <v>65</v>
      </c>
      <c r="I360" t="s">
        <v>228</v>
      </c>
      <c r="J360" t="s">
        <v>1393</v>
      </c>
      <c r="L360" t="s">
        <v>2575</v>
      </c>
      <c r="N360" t="str">
        <f t="shared" si="4"/>
        <v xml:space="preserve"> 2.8623</v>
      </c>
      <c r="Q360">
        <v>2.8622999999999998</v>
      </c>
      <c r="R360">
        <v>9</v>
      </c>
    </row>
    <row r="361" spans="1:18" x14ac:dyDescent="0.2">
      <c r="A361">
        <v>332</v>
      </c>
      <c r="B361" t="s">
        <v>156</v>
      </c>
      <c r="C361" t="s">
        <v>1394</v>
      </c>
      <c r="D361">
        <v>-0.76</v>
      </c>
      <c r="E361">
        <v>9</v>
      </c>
      <c r="F361" t="s">
        <v>1364</v>
      </c>
      <c r="G361" t="s">
        <v>64</v>
      </c>
      <c r="H361" t="s">
        <v>65</v>
      </c>
      <c r="I361" t="s">
        <v>228</v>
      </c>
      <c r="J361" t="s">
        <v>1395</v>
      </c>
      <c r="L361" t="s">
        <v>2576</v>
      </c>
      <c r="N361" t="str">
        <f t="shared" si="4"/>
        <v xml:space="preserve"> 2.4879</v>
      </c>
      <c r="Q361">
        <v>2.4878999999999998</v>
      </c>
      <c r="R361">
        <v>9</v>
      </c>
    </row>
    <row r="362" spans="1:18" x14ac:dyDescent="0.2">
      <c r="A362">
        <v>333</v>
      </c>
      <c r="B362" t="s">
        <v>160</v>
      </c>
      <c r="C362" t="s">
        <v>1396</v>
      </c>
      <c r="D362">
        <v>-0.84899999999999998</v>
      </c>
      <c r="E362">
        <v>9</v>
      </c>
      <c r="F362" t="s">
        <v>1071</v>
      </c>
      <c r="G362" t="s">
        <v>64</v>
      </c>
      <c r="H362" t="s">
        <v>65</v>
      </c>
      <c r="I362" t="s">
        <v>228</v>
      </c>
      <c r="J362" t="s">
        <v>400</v>
      </c>
      <c r="L362" t="s">
        <v>2577</v>
      </c>
      <c r="N362" t="str">
        <f t="shared" si="4"/>
        <v xml:space="preserve"> 2.2290</v>
      </c>
      <c r="Q362">
        <v>2.2290000000000001</v>
      </c>
      <c r="R362">
        <v>9</v>
      </c>
    </row>
    <row r="363" spans="1:18" x14ac:dyDescent="0.2">
      <c r="A363">
        <v>334</v>
      </c>
      <c r="B363" t="s">
        <v>123</v>
      </c>
      <c r="C363" t="s">
        <v>1397</v>
      </c>
      <c r="D363">
        <v>-0.91700000000000004</v>
      </c>
      <c r="E363">
        <v>9</v>
      </c>
      <c r="F363" t="s">
        <v>888</v>
      </c>
      <c r="G363" t="s">
        <v>64</v>
      </c>
      <c r="H363" t="s">
        <v>65</v>
      </c>
      <c r="I363" t="s">
        <v>228</v>
      </c>
      <c r="J363" t="s">
        <v>1315</v>
      </c>
      <c r="L363" t="s">
        <v>2578</v>
      </c>
      <c r="N363" t="str">
        <f t="shared" si="4"/>
        <v xml:space="preserve"> 1.5157</v>
      </c>
      <c r="Q363">
        <v>1.5157</v>
      </c>
      <c r="R363">
        <v>9</v>
      </c>
    </row>
    <row r="364" spans="1:18" x14ac:dyDescent="0.2">
      <c r="A364">
        <v>335</v>
      </c>
      <c r="B364" t="s">
        <v>118</v>
      </c>
      <c r="C364" t="s">
        <v>1398</v>
      </c>
      <c r="D364">
        <v>-0.77500000000000002</v>
      </c>
      <c r="E364">
        <v>9</v>
      </c>
      <c r="F364" t="s">
        <v>1109</v>
      </c>
      <c r="G364" t="s">
        <v>64</v>
      </c>
      <c r="H364" t="s">
        <v>65</v>
      </c>
      <c r="I364" t="s">
        <v>228</v>
      </c>
      <c r="J364" t="s">
        <v>1399</v>
      </c>
      <c r="L364" t="s">
        <v>2579</v>
      </c>
      <c r="N364" t="str">
        <f t="shared" si="4"/>
        <v xml:space="preserve"> 1.7118</v>
      </c>
      <c r="Q364">
        <v>1.7118</v>
      </c>
      <c r="R364">
        <v>9</v>
      </c>
    </row>
    <row r="365" spans="1:18" x14ac:dyDescent="0.2">
      <c r="A365">
        <v>336</v>
      </c>
      <c r="B365" t="s">
        <v>94</v>
      </c>
      <c r="C365" t="s">
        <v>1400</v>
      </c>
      <c r="D365">
        <v>-0.80900000000000005</v>
      </c>
      <c r="E365">
        <v>9</v>
      </c>
      <c r="F365" t="s">
        <v>1208</v>
      </c>
      <c r="G365" t="s">
        <v>64</v>
      </c>
      <c r="H365" t="s">
        <v>65</v>
      </c>
      <c r="I365" t="s">
        <v>228</v>
      </c>
      <c r="J365" t="s">
        <v>1401</v>
      </c>
      <c r="L365" t="s">
        <v>2580</v>
      </c>
      <c r="N365" t="str">
        <f t="shared" si="4"/>
        <v xml:space="preserve"> 2.0976</v>
      </c>
      <c r="Q365">
        <v>2.0975999999999999</v>
      </c>
      <c r="R365">
        <v>9</v>
      </c>
    </row>
    <row r="366" spans="1:18" x14ac:dyDescent="0.2">
      <c r="A366">
        <v>337</v>
      </c>
      <c r="B366" t="s">
        <v>118</v>
      </c>
      <c r="C366" t="s">
        <v>1402</v>
      </c>
      <c r="D366">
        <v>-0.68300000000000005</v>
      </c>
      <c r="E366">
        <v>8</v>
      </c>
      <c r="F366" t="s">
        <v>1224</v>
      </c>
      <c r="G366" t="s">
        <v>64</v>
      </c>
      <c r="H366" t="s">
        <v>40</v>
      </c>
      <c r="I366" t="s">
        <v>228</v>
      </c>
      <c r="J366" t="s">
        <v>1403</v>
      </c>
      <c r="L366" t="s">
        <v>2581</v>
      </c>
      <c r="N366" t="str">
        <f t="shared" si="4"/>
        <v xml:space="preserve"> 1.7816</v>
      </c>
      <c r="Q366">
        <v>1.7816000000000001</v>
      </c>
      <c r="R366">
        <v>8</v>
      </c>
    </row>
    <row r="367" spans="1:18" x14ac:dyDescent="0.2">
      <c r="A367">
        <v>338</v>
      </c>
      <c r="B367" t="s">
        <v>113</v>
      </c>
      <c r="C367" t="s">
        <v>1404</v>
      </c>
      <c r="D367">
        <v>-0.14699999999999999</v>
      </c>
      <c r="E367">
        <v>6</v>
      </c>
      <c r="F367" t="s">
        <v>1030</v>
      </c>
      <c r="G367" t="s">
        <v>64</v>
      </c>
      <c r="H367" t="s">
        <v>40</v>
      </c>
      <c r="I367" t="s">
        <v>228</v>
      </c>
      <c r="J367" t="s">
        <v>1405</v>
      </c>
      <c r="L367" t="s">
        <v>2582</v>
      </c>
      <c r="N367" t="str">
        <f t="shared" si="4"/>
        <v xml:space="preserve"> 1.3475</v>
      </c>
      <c r="Q367">
        <v>1.3474999999999999</v>
      </c>
      <c r="R367">
        <v>6</v>
      </c>
    </row>
    <row r="368" spans="1:18" x14ac:dyDescent="0.2">
      <c r="A368">
        <v>339</v>
      </c>
      <c r="B368" t="s">
        <v>118</v>
      </c>
      <c r="C368" t="s">
        <v>1406</v>
      </c>
      <c r="D368">
        <v>-0.41799999999999998</v>
      </c>
      <c r="E368">
        <v>7</v>
      </c>
      <c r="F368" t="s">
        <v>912</v>
      </c>
      <c r="G368" t="s">
        <v>64</v>
      </c>
      <c r="H368" t="s">
        <v>40</v>
      </c>
      <c r="I368" t="s">
        <v>228</v>
      </c>
      <c r="J368" t="s">
        <v>1407</v>
      </c>
      <c r="L368" t="s">
        <v>2583</v>
      </c>
      <c r="N368" t="str">
        <f t="shared" si="4"/>
        <v xml:space="preserve"> 2.0789</v>
      </c>
      <c r="Q368">
        <v>2.0789</v>
      </c>
      <c r="R368">
        <v>7</v>
      </c>
    </row>
    <row r="369" spans="1:18" x14ac:dyDescent="0.2">
      <c r="A369">
        <v>340</v>
      </c>
      <c r="B369" t="s">
        <v>233</v>
      </c>
      <c r="C369" t="s">
        <v>1408</v>
      </c>
      <c r="D369">
        <v>-0.70399999999999996</v>
      </c>
      <c r="E369">
        <v>8</v>
      </c>
      <c r="F369" t="s">
        <v>1217</v>
      </c>
      <c r="G369" t="s">
        <v>64</v>
      </c>
      <c r="H369" t="s">
        <v>40</v>
      </c>
      <c r="I369" t="s">
        <v>228</v>
      </c>
      <c r="J369" t="s">
        <v>1409</v>
      </c>
      <c r="L369" t="s">
        <v>2584</v>
      </c>
      <c r="N369" t="str">
        <f t="shared" si="4"/>
        <v xml:space="preserve"> 2.6503</v>
      </c>
      <c r="Q369">
        <v>2.6503000000000001</v>
      </c>
      <c r="R369">
        <v>8</v>
      </c>
    </row>
    <row r="370" spans="1:18" x14ac:dyDescent="0.2">
      <c r="A370">
        <v>341</v>
      </c>
      <c r="B370" t="s">
        <v>52</v>
      </c>
      <c r="C370" t="s">
        <v>1410</v>
      </c>
      <c r="D370">
        <v>-0.374</v>
      </c>
      <c r="E370">
        <v>7</v>
      </c>
      <c r="F370" t="s">
        <v>1140</v>
      </c>
      <c r="G370" t="s">
        <v>64</v>
      </c>
      <c r="H370" t="s">
        <v>40</v>
      </c>
      <c r="I370" t="s">
        <v>228</v>
      </c>
      <c r="J370" t="s">
        <v>1411</v>
      </c>
      <c r="L370" t="s">
        <v>2585</v>
      </c>
      <c r="N370" t="str">
        <f t="shared" si="4"/>
        <v xml:space="preserve"> 1.4095</v>
      </c>
      <c r="Q370">
        <v>1.4095</v>
      </c>
      <c r="R370">
        <v>7</v>
      </c>
    </row>
    <row r="371" spans="1:18" x14ac:dyDescent="0.2">
      <c r="A371">
        <v>342</v>
      </c>
      <c r="B371" t="s">
        <v>94</v>
      </c>
      <c r="C371" t="s">
        <v>1412</v>
      </c>
      <c r="D371">
        <v>-0.193</v>
      </c>
      <c r="E371">
        <v>6</v>
      </c>
      <c r="F371" t="s">
        <v>720</v>
      </c>
      <c r="G371" t="s">
        <v>64</v>
      </c>
      <c r="H371" t="s">
        <v>40</v>
      </c>
      <c r="I371" t="s">
        <v>228</v>
      </c>
      <c r="J371" t="s">
        <v>1413</v>
      </c>
      <c r="L371" t="s">
        <v>2586</v>
      </c>
      <c r="N371" t="str">
        <f t="shared" si="4"/>
        <v xml:space="preserve"> 1.0085</v>
      </c>
      <c r="Q371">
        <v>1.0085</v>
      </c>
      <c r="R371">
        <v>6</v>
      </c>
    </row>
    <row r="372" spans="1:18" x14ac:dyDescent="0.2">
      <c r="A372">
        <v>343</v>
      </c>
      <c r="B372" t="s">
        <v>101</v>
      </c>
      <c r="C372" t="s">
        <v>1414</v>
      </c>
      <c r="D372">
        <v>-0.90400000000000003</v>
      </c>
      <c r="E372">
        <v>9</v>
      </c>
      <c r="F372" t="s">
        <v>717</v>
      </c>
      <c r="G372" t="s">
        <v>64</v>
      </c>
      <c r="H372" t="s">
        <v>65</v>
      </c>
      <c r="I372" t="s">
        <v>228</v>
      </c>
      <c r="J372" t="s">
        <v>997</v>
      </c>
      <c r="L372" t="s">
        <v>2587</v>
      </c>
      <c r="N372" t="str">
        <f t="shared" si="4"/>
        <v xml:space="preserve"> 1.2308</v>
      </c>
      <c r="Q372">
        <v>1.2307999999999999</v>
      </c>
      <c r="R372">
        <v>9</v>
      </c>
    </row>
    <row r="373" spans="1:18" x14ac:dyDescent="0.2">
      <c r="A373">
        <v>344</v>
      </c>
      <c r="B373" t="s">
        <v>156</v>
      </c>
      <c r="C373" t="s">
        <v>1415</v>
      </c>
      <c r="D373">
        <v>-2.5999999999999999E-2</v>
      </c>
      <c r="E373">
        <v>5</v>
      </c>
      <c r="F373" t="s">
        <v>701</v>
      </c>
      <c r="G373" t="s">
        <v>64</v>
      </c>
      <c r="H373" t="s">
        <v>40</v>
      </c>
      <c r="I373" t="s">
        <v>228</v>
      </c>
      <c r="J373" t="s">
        <v>1416</v>
      </c>
      <c r="L373" t="s">
        <v>2588</v>
      </c>
      <c r="N373" t="str">
        <f t="shared" si="4"/>
        <v xml:space="preserve"> 1.3826</v>
      </c>
      <c r="Q373">
        <v>1.3826000000000001</v>
      </c>
      <c r="R373">
        <v>5</v>
      </c>
    </row>
    <row r="374" spans="1:18" x14ac:dyDescent="0.2">
      <c r="A374">
        <v>345</v>
      </c>
      <c r="B374" t="s">
        <v>118</v>
      </c>
      <c r="C374" t="s">
        <v>1417</v>
      </c>
      <c r="D374">
        <v>-0.14799999999999999</v>
      </c>
      <c r="E374">
        <v>6</v>
      </c>
      <c r="F374" t="s">
        <v>1030</v>
      </c>
      <c r="G374" t="s">
        <v>64</v>
      </c>
      <c r="H374" t="s">
        <v>40</v>
      </c>
      <c r="I374" t="s">
        <v>228</v>
      </c>
      <c r="J374" t="s">
        <v>1418</v>
      </c>
      <c r="L374" t="s">
        <v>2589</v>
      </c>
      <c r="N374" t="str">
        <f t="shared" si="4"/>
        <v xml:space="preserve"> 1.1455</v>
      </c>
      <c r="Q374">
        <v>1.1455</v>
      </c>
      <c r="R374">
        <v>6</v>
      </c>
    </row>
    <row r="375" spans="1:18" x14ac:dyDescent="0.2">
      <c r="A375">
        <v>346</v>
      </c>
      <c r="B375" t="s">
        <v>94</v>
      </c>
      <c r="C375" t="s">
        <v>1419</v>
      </c>
      <c r="D375">
        <v>1.296</v>
      </c>
      <c r="E375">
        <v>3</v>
      </c>
      <c r="F375" t="s">
        <v>687</v>
      </c>
      <c r="G375" t="s">
        <v>64</v>
      </c>
      <c r="H375" t="s">
        <v>40</v>
      </c>
      <c r="I375" t="s">
        <v>228</v>
      </c>
      <c r="J375" t="s">
        <v>1420</v>
      </c>
      <c r="L375" t="s">
        <v>2590</v>
      </c>
      <c r="N375" t="str">
        <f t="shared" si="4"/>
        <v xml:space="preserve"> 1.3163</v>
      </c>
      <c r="Q375">
        <v>1.3163</v>
      </c>
      <c r="R375">
        <v>3</v>
      </c>
    </row>
    <row r="376" spans="1:18" x14ac:dyDescent="0.2">
      <c r="A376">
        <v>347</v>
      </c>
      <c r="B376" t="s">
        <v>52</v>
      </c>
      <c r="C376" t="s">
        <v>1421</v>
      </c>
      <c r="D376">
        <v>-0.38200000000000001</v>
      </c>
      <c r="E376">
        <v>7</v>
      </c>
      <c r="F376" t="s">
        <v>1140</v>
      </c>
      <c r="G376" t="s">
        <v>64</v>
      </c>
      <c r="H376" t="s">
        <v>40</v>
      </c>
      <c r="I376" t="s">
        <v>228</v>
      </c>
      <c r="J376" t="s">
        <v>1422</v>
      </c>
      <c r="L376" t="s">
        <v>2591</v>
      </c>
      <c r="N376" t="str">
        <f t="shared" si="4"/>
        <v xml:space="preserve"> 1.2408</v>
      </c>
      <c r="Q376">
        <v>1.2407999999999999</v>
      </c>
      <c r="R376">
        <v>7</v>
      </c>
    </row>
    <row r="377" spans="1:18" x14ac:dyDescent="0.2">
      <c r="A377">
        <v>348</v>
      </c>
      <c r="B377" t="s">
        <v>142</v>
      </c>
      <c r="C377" t="s">
        <v>1423</v>
      </c>
      <c r="D377">
        <v>-0.39900000000000002</v>
      </c>
      <c r="E377">
        <v>7</v>
      </c>
      <c r="F377" t="s">
        <v>912</v>
      </c>
      <c r="G377" t="s">
        <v>64</v>
      </c>
      <c r="H377" t="s">
        <v>40</v>
      </c>
      <c r="I377" t="s">
        <v>165</v>
      </c>
      <c r="J377" t="s">
        <v>1424</v>
      </c>
      <c r="L377" t="s">
        <v>2592</v>
      </c>
      <c r="N377" t="str">
        <f t="shared" si="4"/>
        <v xml:space="preserve"> 0.7651</v>
      </c>
      <c r="Q377">
        <v>0.7651</v>
      </c>
      <c r="R377">
        <v>7</v>
      </c>
    </row>
    <row r="378" spans="1:18" x14ac:dyDescent="0.2">
      <c r="A378">
        <v>349</v>
      </c>
      <c r="B378" t="s">
        <v>43</v>
      </c>
      <c r="C378" t="s">
        <v>1425</v>
      </c>
      <c r="D378">
        <v>0.28999999999999998</v>
      </c>
      <c r="E378">
        <v>5</v>
      </c>
      <c r="F378" t="s">
        <v>783</v>
      </c>
      <c r="G378" t="s">
        <v>64</v>
      </c>
      <c r="H378" t="s">
        <v>40</v>
      </c>
      <c r="I378" t="s">
        <v>165</v>
      </c>
      <c r="J378" t="s">
        <v>1426</v>
      </c>
      <c r="L378" t="s">
        <v>2593</v>
      </c>
      <c r="N378" t="str">
        <f t="shared" si="4"/>
        <v xml:space="preserve"> 0.8604</v>
      </c>
      <c r="Q378">
        <v>0.86040000000000005</v>
      </c>
      <c r="R378">
        <v>5</v>
      </c>
    </row>
    <row r="379" spans="1:18" x14ac:dyDescent="0.2">
      <c r="A379">
        <v>350</v>
      </c>
      <c r="B379" t="s">
        <v>52</v>
      </c>
      <c r="C379" t="s">
        <v>1427</v>
      </c>
      <c r="D379">
        <v>-0.59299999999999997</v>
      </c>
      <c r="E379">
        <v>8</v>
      </c>
      <c r="F379" t="s">
        <v>1148</v>
      </c>
      <c r="G379" t="s">
        <v>64</v>
      </c>
      <c r="H379" t="s">
        <v>40</v>
      </c>
      <c r="I379" t="s">
        <v>165</v>
      </c>
      <c r="J379" t="s">
        <v>1428</v>
      </c>
      <c r="L379" t="s">
        <v>2594</v>
      </c>
      <c r="N379" t="str">
        <f t="shared" si="4"/>
        <v xml:space="preserve"> 1.1838</v>
      </c>
      <c r="Q379">
        <v>1.1838</v>
      </c>
      <c r="R379">
        <v>8</v>
      </c>
    </row>
    <row r="380" spans="1:18" x14ac:dyDescent="0.2">
      <c r="A380">
        <v>351</v>
      </c>
      <c r="B380" t="s">
        <v>113</v>
      </c>
      <c r="C380" t="s">
        <v>1429</v>
      </c>
      <c r="D380">
        <v>-0.55600000000000005</v>
      </c>
      <c r="E380">
        <v>8</v>
      </c>
      <c r="F380" t="s">
        <v>729</v>
      </c>
      <c r="G380" t="s">
        <v>64</v>
      </c>
      <c r="H380" t="s">
        <v>40</v>
      </c>
      <c r="I380" t="s">
        <v>165</v>
      </c>
      <c r="J380" t="s">
        <v>1430</v>
      </c>
      <c r="L380" t="s">
        <v>2595</v>
      </c>
      <c r="N380" t="str">
        <f t="shared" si="4"/>
        <v xml:space="preserve"> 0.8769</v>
      </c>
      <c r="Q380">
        <v>0.87690000000000001</v>
      </c>
      <c r="R380">
        <v>8</v>
      </c>
    </row>
    <row r="381" spans="1:18" x14ac:dyDescent="0.2">
      <c r="A381">
        <v>352</v>
      </c>
      <c r="B381" t="s">
        <v>108</v>
      </c>
      <c r="C381" t="s">
        <v>1431</v>
      </c>
      <c r="D381">
        <v>0.65900000000000003</v>
      </c>
      <c r="E381">
        <v>4</v>
      </c>
      <c r="F381" t="s">
        <v>682</v>
      </c>
      <c r="G381" t="s">
        <v>33</v>
      </c>
      <c r="H381" t="s">
        <v>40</v>
      </c>
      <c r="I381" t="s">
        <v>165</v>
      </c>
      <c r="J381" t="s">
        <v>1432</v>
      </c>
      <c r="L381" t="s">
        <v>2596</v>
      </c>
      <c r="N381" t="str">
        <f t="shared" si="4"/>
        <v xml:space="preserve"> 1.1572</v>
      </c>
      <c r="Q381">
        <v>1.1572</v>
      </c>
      <c r="R381">
        <v>4</v>
      </c>
    </row>
    <row r="382" spans="1:18" x14ac:dyDescent="0.2">
      <c r="A382">
        <v>353</v>
      </c>
      <c r="B382" t="s">
        <v>108</v>
      </c>
      <c r="C382" t="s">
        <v>1433</v>
      </c>
      <c r="D382">
        <v>-0.21099999999999999</v>
      </c>
      <c r="E382">
        <v>6</v>
      </c>
      <c r="F382" t="s">
        <v>720</v>
      </c>
      <c r="G382" t="s">
        <v>64</v>
      </c>
      <c r="H382" t="s">
        <v>40</v>
      </c>
      <c r="I382" t="s">
        <v>165</v>
      </c>
      <c r="J382" t="s">
        <v>1434</v>
      </c>
      <c r="L382" t="s">
        <v>2597</v>
      </c>
      <c r="N382" t="str">
        <f t="shared" si="4"/>
        <v xml:space="preserve"> 1.0945</v>
      </c>
      <c r="Q382">
        <v>1.0945</v>
      </c>
      <c r="R382">
        <v>6</v>
      </c>
    </row>
    <row r="383" spans="1:18" x14ac:dyDescent="0.2">
      <c r="A383">
        <v>354</v>
      </c>
      <c r="B383" t="s">
        <v>127</v>
      </c>
      <c r="C383" t="s">
        <v>1435</v>
      </c>
      <c r="D383">
        <v>-0.51500000000000001</v>
      </c>
      <c r="E383">
        <v>8</v>
      </c>
      <c r="F383" t="s">
        <v>882</v>
      </c>
      <c r="G383" t="s">
        <v>64</v>
      </c>
      <c r="H383" t="s">
        <v>40</v>
      </c>
      <c r="I383" t="s">
        <v>165</v>
      </c>
      <c r="J383" t="s">
        <v>1436</v>
      </c>
      <c r="L383" t="s">
        <v>2598</v>
      </c>
      <c r="N383" t="str">
        <f t="shared" si="4"/>
        <v xml:space="preserve"> 1.1974</v>
      </c>
      <c r="Q383">
        <v>1.1974</v>
      </c>
      <c r="R383">
        <v>8</v>
      </c>
    </row>
    <row r="384" spans="1:18" x14ac:dyDescent="0.2">
      <c r="A384">
        <v>355</v>
      </c>
      <c r="B384" t="s">
        <v>101</v>
      </c>
      <c r="C384" t="s">
        <v>1437</v>
      </c>
      <c r="D384">
        <v>-0.82499999999999996</v>
      </c>
      <c r="E384">
        <v>9</v>
      </c>
      <c r="F384" t="s">
        <v>927</v>
      </c>
      <c r="G384" t="s">
        <v>33</v>
      </c>
      <c r="H384" t="s">
        <v>34</v>
      </c>
      <c r="I384" t="s">
        <v>165</v>
      </c>
      <c r="J384" t="s">
        <v>1438</v>
      </c>
      <c r="L384" t="s">
        <v>2599</v>
      </c>
      <c r="N384" t="str">
        <f t="shared" si="4"/>
        <v xml:space="preserve"> 0.4625</v>
      </c>
      <c r="Q384">
        <v>0.46250000000000002</v>
      </c>
      <c r="R384">
        <v>9</v>
      </c>
    </row>
    <row r="385" spans="1:18" x14ac:dyDescent="0.2">
      <c r="A385">
        <v>356</v>
      </c>
      <c r="B385" t="s">
        <v>37</v>
      </c>
      <c r="C385" t="s">
        <v>1439</v>
      </c>
      <c r="D385">
        <v>-0.91400000000000003</v>
      </c>
      <c r="E385">
        <v>9</v>
      </c>
      <c r="F385" t="s">
        <v>717</v>
      </c>
      <c r="G385" t="s">
        <v>33</v>
      </c>
      <c r="H385" t="s">
        <v>34</v>
      </c>
      <c r="I385" t="s">
        <v>165</v>
      </c>
      <c r="J385" t="s">
        <v>917</v>
      </c>
      <c r="L385" t="s">
        <v>2600</v>
      </c>
      <c r="N385" t="str">
        <f t="shared" si="4"/>
        <v xml:space="preserve"> 1.1499</v>
      </c>
      <c r="Q385">
        <v>1.1498999999999999</v>
      </c>
      <c r="R385">
        <v>9</v>
      </c>
    </row>
    <row r="386" spans="1:18" x14ac:dyDescent="0.2">
      <c r="A386">
        <v>357</v>
      </c>
      <c r="B386" t="s">
        <v>156</v>
      </c>
      <c r="C386" t="s">
        <v>1440</v>
      </c>
      <c r="D386">
        <v>-0.88600000000000001</v>
      </c>
      <c r="E386">
        <v>9</v>
      </c>
      <c r="F386" t="s">
        <v>1045</v>
      </c>
      <c r="G386" t="s">
        <v>64</v>
      </c>
      <c r="H386" t="s">
        <v>65</v>
      </c>
      <c r="I386" t="s">
        <v>165</v>
      </c>
      <c r="J386" t="s">
        <v>1441</v>
      </c>
      <c r="L386" t="s">
        <v>2601</v>
      </c>
      <c r="N386" t="str">
        <f t="shared" si="4"/>
        <v xml:space="preserve"> 1.5805</v>
      </c>
      <c r="Q386">
        <v>1.5805</v>
      </c>
      <c r="R386">
        <v>9</v>
      </c>
    </row>
    <row r="387" spans="1:18" x14ac:dyDescent="0.2">
      <c r="A387">
        <v>358</v>
      </c>
      <c r="B387" t="s">
        <v>101</v>
      </c>
      <c r="C387" t="s">
        <v>1442</v>
      </c>
      <c r="D387">
        <v>-0.82499999999999996</v>
      </c>
      <c r="E387">
        <v>9</v>
      </c>
      <c r="F387" t="s">
        <v>927</v>
      </c>
      <c r="G387" t="s">
        <v>64</v>
      </c>
      <c r="H387" t="s">
        <v>65</v>
      </c>
      <c r="I387" t="s">
        <v>165</v>
      </c>
      <c r="J387" t="s">
        <v>1438</v>
      </c>
      <c r="L387" t="s">
        <v>2602</v>
      </c>
      <c r="N387" t="str">
        <f t="shared" si="4"/>
        <v xml:space="preserve"> 1.5959</v>
      </c>
      <c r="Q387">
        <v>1.5959000000000001</v>
      </c>
      <c r="R387">
        <v>9</v>
      </c>
    </row>
    <row r="388" spans="1:18" x14ac:dyDescent="0.2">
      <c r="A388">
        <v>359</v>
      </c>
      <c r="B388" t="s">
        <v>123</v>
      </c>
      <c r="C388" t="s">
        <v>1443</v>
      </c>
      <c r="D388">
        <v>-0.86</v>
      </c>
      <c r="E388">
        <v>9</v>
      </c>
      <c r="F388" t="s">
        <v>1059</v>
      </c>
      <c r="G388" t="s">
        <v>33</v>
      </c>
      <c r="H388" t="s">
        <v>34</v>
      </c>
      <c r="I388" t="s">
        <v>165</v>
      </c>
      <c r="J388" t="s">
        <v>1444</v>
      </c>
      <c r="L388" t="s">
        <v>2603</v>
      </c>
      <c r="N388" t="str">
        <f t="shared" si="4"/>
        <v xml:space="preserve"> 3.2424</v>
      </c>
      <c r="Q388">
        <v>3.2423999999999999</v>
      </c>
      <c r="R388">
        <v>9</v>
      </c>
    </row>
    <row r="389" spans="1:18" x14ac:dyDescent="0.2">
      <c r="A389">
        <v>360</v>
      </c>
      <c r="B389" t="s">
        <v>94</v>
      </c>
      <c r="C389" t="s">
        <v>1445</v>
      </c>
      <c r="D389">
        <v>-0.33400000000000002</v>
      </c>
      <c r="E389">
        <v>7</v>
      </c>
      <c r="F389" t="s">
        <v>901</v>
      </c>
      <c r="G389" t="s">
        <v>64</v>
      </c>
      <c r="H389" t="s">
        <v>40</v>
      </c>
      <c r="I389" t="s">
        <v>165</v>
      </c>
      <c r="J389" t="s">
        <v>1446</v>
      </c>
      <c r="L389" t="s">
        <v>2604</v>
      </c>
      <c r="N389" t="str">
        <f t="shared" si="4"/>
        <v xml:space="preserve"> 3.2052</v>
      </c>
      <c r="Q389">
        <v>3.2052</v>
      </c>
      <c r="R389">
        <v>7</v>
      </c>
    </row>
    <row r="390" spans="1:18" x14ac:dyDescent="0.2">
      <c r="A390">
        <v>361</v>
      </c>
      <c r="B390" t="s">
        <v>94</v>
      </c>
      <c r="C390" t="s">
        <v>1447</v>
      </c>
      <c r="D390">
        <v>0.81699999999999995</v>
      </c>
      <c r="E390">
        <v>4</v>
      </c>
      <c r="F390" t="s">
        <v>759</v>
      </c>
      <c r="G390" t="s">
        <v>64</v>
      </c>
      <c r="H390" t="s">
        <v>40</v>
      </c>
      <c r="I390" t="s">
        <v>165</v>
      </c>
      <c r="J390" t="s">
        <v>1448</v>
      </c>
      <c r="L390" t="s">
        <v>2605</v>
      </c>
      <c r="N390" t="str">
        <f t="shared" si="4"/>
        <v xml:space="preserve"> 2.6546</v>
      </c>
      <c r="Q390">
        <v>2.6545999999999998</v>
      </c>
      <c r="R390">
        <v>4</v>
      </c>
    </row>
    <row r="391" spans="1:18" x14ac:dyDescent="0.2">
      <c r="A391">
        <v>362</v>
      </c>
      <c r="B391" t="s">
        <v>113</v>
      </c>
      <c r="C391" t="s">
        <v>1449</v>
      </c>
      <c r="D391">
        <v>-0.81399999999999995</v>
      </c>
      <c r="E391">
        <v>9</v>
      </c>
      <c r="F391" t="s">
        <v>927</v>
      </c>
      <c r="G391" t="s">
        <v>64</v>
      </c>
      <c r="H391" t="s">
        <v>65</v>
      </c>
      <c r="I391" t="s">
        <v>165</v>
      </c>
      <c r="J391" t="s">
        <v>1091</v>
      </c>
      <c r="L391" t="s">
        <v>2606</v>
      </c>
      <c r="N391" t="str">
        <f t="shared" ref="N391:N454" si="5">RIGHT((LEFT(L391,11)),7)</f>
        <v xml:space="preserve"> 2.9587</v>
      </c>
      <c r="Q391">
        <v>2.9586999999999999</v>
      </c>
      <c r="R391">
        <v>9</v>
      </c>
    </row>
    <row r="392" spans="1:18" x14ac:dyDescent="0.2">
      <c r="A392">
        <v>363</v>
      </c>
      <c r="B392" t="s">
        <v>37</v>
      </c>
      <c r="C392" t="s">
        <v>1450</v>
      </c>
      <c r="D392">
        <v>-0.65900000000000003</v>
      </c>
      <c r="E392">
        <v>8</v>
      </c>
      <c r="F392" t="s">
        <v>896</v>
      </c>
      <c r="G392" t="s">
        <v>33</v>
      </c>
      <c r="H392" t="s">
        <v>34</v>
      </c>
      <c r="I392" t="s">
        <v>165</v>
      </c>
      <c r="J392" t="s">
        <v>1451</v>
      </c>
      <c r="L392" t="s">
        <v>2607</v>
      </c>
      <c r="N392" t="str">
        <f t="shared" si="5"/>
        <v xml:space="preserve"> 4.1345</v>
      </c>
      <c r="Q392">
        <v>4.1345000000000001</v>
      </c>
      <c r="R392">
        <v>8</v>
      </c>
    </row>
    <row r="393" spans="1:18" x14ac:dyDescent="0.2">
      <c r="A393">
        <v>364</v>
      </c>
      <c r="B393" t="s">
        <v>194</v>
      </c>
      <c r="C393" t="s">
        <v>1452</v>
      </c>
      <c r="D393">
        <v>0.42899999999999999</v>
      </c>
      <c r="E393">
        <v>4</v>
      </c>
      <c r="F393" t="s">
        <v>690</v>
      </c>
      <c r="G393" t="s">
        <v>33</v>
      </c>
      <c r="H393" t="s">
        <v>40</v>
      </c>
      <c r="I393" t="s">
        <v>228</v>
      </c>
      <c r="J393" t="s">
        <v>1453</v>
      </c>
      <c r="L393" t="s">
        <v>2608</v>
      </c>
      <c r="N393" t="str">
        <f t="shared" si="5"/>
        <v xml:space="preserve"> 4.2244</v>
      </c>
      <c r="Q393">
        <v>4.2244000000000002</v>
      </c>
      <c r="R393">
        <v>4</v>
      </c>
    </row>
    <row r="394" spans="1:18" x14ac:dyDescent="0.2">
      <c r="A394">
        <v>365</v>
      </c>
      <c r="B394" t="s">
        <v>43</v>
      </c>
      <c r="C394" t="s">
        <v>1454</v>
      </c>
      <c r="D394">
        <v>-0.39400000000000002</v>
      </c>
      <c r="E394">
        <v>7</v>
      </c>
      <c r="F394" t="s">
        <v>912</v>
      </c>
      <c r="G394" t="s">
        <v>33</v>
      </c>
      <c r="H394" t="s">
        <v>40</v>
      </c>
      <c r="I394" t="s">
        <v>228</v>
      </c>
      <c r="J394" t="s">
        <v>1455</v>
      </c>
      <c r="L394" t="s">
        <v>2609</v>
      </c>
      <c r="N394" t="str">
        <f t="shared" si="5"/>
        <v xml:space="preserve"> 4.2261</v>
      </c>
      <c r="Q394">
        <v>4.2260999999999997</v>
      </c>
      <c r="R394">
        <v>7</v>
      </c>
    </row>
    <row r="395" spans="1:18" x14ac:dyDescent="0.2">
      <c r="A395">
        <v>366</v>
      </c>
      <c r="B395" t="s">
        <v>74</v>
      </c>
      <c r="C395" t="s">
        <v>1456</v>
      </c>
      <c r="D395">
        <v>-0.63400000000000001</v>
      </c>
      <c r="E395">
        <v>8</v>
      </c>
      <c r="F395" t="s">
        <v>906</v>
      </c>
      <c r="G395" t="s">
        <v>33</v>
      </c>
      <c r="H395" t="s">
        <v>34</v>
      </c>
      <c r="I395" t="s">
        <v>228</v>
      </c>
      <c r="J395" t="s">
        <v>1457</v>
      </c>
      <c r="L395" t="s">
        <v>2610</v>
      </c>
      <c r="N395" t="str">
        <f t="shared" si="5"/>
        <v xml:space="preserve"> 3.0107</v>
      </c>
      <c r="Q395">
        <v>3.0106999999999999</v>
      </c>
      <c r="R395">
        <v>8</v>
      </c>
    </row>
    <row r="396" spans="1:18" x14ac:dyDescent="0.2">
      <c r="A396">
        <v>367</v>
      </c>
      <c r="B396" t="s">
        <v>135</v>
      </c>
      <c r="C396" t="s">
        <v>1458</v>
      </c>
      <c r="D396">
        <v>-0.86799999999999999</v>
      </c>
      <c r="E396">
        <v>9</v>
      </c>
      <c r="F396" t="s">
        <v>1059</v>
      </c>
      <c r="G396" t="s">
        <v>33</v>
      </c>
      <c r="H396" t="s">
        <v>34</v>
      </c>
      <c r="I396" t="s">
        <v>228</v>
      </c>
      <c r="J396" t="s">
        <v>1459</v>
      </c>
      <c r="L396" t="s">
        <v>2611</v>
      </c>
      <c r="N396" t="str">
        <f t="shared" si="5"/>
        <v xml:space="preserve"> 1.0671</v>
      </c>
      <c r="Q396">
        <v>1.0670999999999999</v>
      </c>
      <c r="R396">
        <v>9</v>
      </c>
    </row>
    <row r="397" spans="1:18" x14ac:dyDescent="0.2">
      <c r="A397">
        <v>368</v>
      </c>
      <c r="B397" t="s">
        <v>97</v>
      </c>
      <c r="C397" t="s">
        <v>1460</v>
      </c>
      <c r="D397">
        <v>-0.86199999999999999</v>
      </c>
      <c r="E397">
        <v>9</v>
      </c>
      <c r="F397" t="s">
        <v>1059</v>
      </c>
      <c r="G397" t="s">
        <v>33</v>
      </c>
      <c r="H397" t="s">
        <v>34</v>
      </c>
      <c r="I397" t="s">
        <v>228</v>
      </c>
      <c r="J397" t="s">
        <v>1461</v>
      </c>
      <c r="L397" t="s">
        <v>2612</v>
      </c>
      <c r="N397" t="str">
        <f t="shared" si="5"/>
        <v xml:space="preserve"> 1.1130</v>
      </c>
      <c r="Q397">
        <v>1.113</v>
      </c>
      <c r="R397">
        <v>9</v>
      </c>
    </row>
    <row r="398" spans="1:18" x14ac:dyDescent="0.2">
      <c r="A398">
        <v>369</v>
      </c>
      <c r="B398" t="s">
        <v>37</v>
      </c>
      <c r="C398" t="s">
        <v>1462</v>
      </c>
      <c r="D398">
        <v>-0.72199999999999998</v>
      </c>
      <c r="E398">
        <v>9</v>
      </c>
      <c r="F398" t="s">
        <v>1160</v>
      </c>
      <c r="G398" t="s">
        <v>33</v>
      </c>
      <c r="H398" t="s">
        <v>34</v>
      </c>
      <c r="I398" t="s">
        <v>228</v>
      </c>
      <c r="J398" t="s">
        <v>1463</v>
      </c>
      <c r="L398" t="s">
        <v>2613</v>
      </c>
      <c r="N398" t="str">
        <f t="shared" si="5"/>
        <v xml:space="preserve"> 1.9708</v>
      </c>
      <c r="Q398">
        <v>1.9708000000000001</v>
      </c>
      <c r="R398">
        <v>9</v>
      </c>
    </row>
    <row r="399" spans="1:18" x14ac:dyDescent="0.2">
      <c r="A399">
        <v>370</v>
      </c>
      <c r="B399" t="s">
        <v>52</v>
      </c>
      <c r="C399" t="s">
        <v>1464</v>
      </c>
      <c r="D399">
        <v>-0.52400000000000002</v>
      </c>
      <c r="E399">
        <v>8</v>
      </c>
      <c r="F399" t="s">
        <v>882</v>
      </c>
      <c r="G399" t="s">
        <v>64</v>
      </c>
      <c r="H399" t="s">
        <v>40</v>
      </c>
      <c r="I399" t="s">
        <v>228</v>
      </c>
      <c r="J399" t="s">
        <v>1465</v>
      </c>
      <c r="L399" t="s">
        <v>2614</v>
      </c>
      <c r="N399" t="str">
        <f t="shared" si="5"/>
        <v xml:space="preserve"> 1.3407</v>
      </c>
      <c r="Q399">
        <v>1.3407</v>
      </c>
      <c r="R399">
        <v>8</v>
      </c>
    </row>
    <row r="400" spans="1:18" x14ac:dyDescent="0.2">
      <c r="A400">
        <v>371</v>
      </c>
      <c r="B400" t="s">
        <v>160</v>
      </c>
      <c r="C400" t="s">
        <v>1466</v>
      </c>
      <c r="D400">
        <v>-0.67900000000000005</v>
      </c>
      <c r="E400">
        <v>8</v>
      </c>
      <c r="F400" t="s">
        <v>1371</v>
      </c>
      <c r="G400" t="s">
        <v>64</v>
      </c>
      <c r="H400" t="s">
        <v>40</v>
      </c>
      <c r="I400" t="s">
        <v>165</v>
      </c>
      <c r="J400" t="s">
        <v>1467</v>
      </c>
      <c r="L400" t="s">
        <v>2615</v>
      </c>
      <c r="N400" t="str">
        <f t="shared" si="5"/>
        <v xml:space="preserve"> 0.7922</v>
      </c>
      <c r="Q400">
        <v>0.79220000000000002</v>
      </c>
      <c r="R400">
        <v>8</v>
      </c>
    </row>
    <row r="401" spans="1:18" x14ac:dyDescent="0.2">
      <c r="A401">
        <v>372</v>
      </c>
      <c r="B401" t="s">
        <v>30</v>
      </c>
      <c r="C401" t="s">
        <v>1468</v>
      </c>
      <c r="D401">
        <v>-0.871</v>
      </c>
      <c r="E401">
        <v>9</v>
      </c>
      <c r="F401" t="s">
        <v>1059</v>
      </c>
      <c r="G401" t="s">
        <v>64</v>
      </c>
      <c r="H401" t="s">
        <v>65</v>
      </c>
      <c r="I401" t="s">
        <v>165</v>
      </c>
      <c r="J401" t="s">
        <v>1469</v>
      </c>
      <c r="L401" t="s">
        <v>2616</v>
      </c>
      <c r="N401" t="str">
        <f t="shared" si="5"/>
        <v xml:space="preserve"> 1.3799</v>
      </c>
      <c r="Q401">
        <v>1.3798999999999999</v>
      </c>
      <c r="R401">
        <v>9</v>
      </c>
    </row>
    <row r="402" spans="1:18" x14ac:dyDescent="0.2">
      <c r="A402">
        <v>373</v>
      </c>
      <c r="B402" t="s">
        <v>118</v>
      </c>
      <c r="C402" t="s">
        <v>1470</v>
      </c>
      <c r="D402">
        <v>-0.313</v>
      </c>
      <c r="E402">
        <v>7</v>
      </c>
      <c r="F402" t="s">
        <v>885</v>
      </c>
      <c r="G402" t="s">
        <v>64</v>
      </c>
      <c r="H402" t="s">
        <v>40</v>
      </c>
      <c r="I402" t="s">
        <v>228</v>
      </c>
      <c r="J402" t="s">
        <v>1471</v>
      </c>
      <c r="L402" t="s">
        <v>2617</v>
      </c>
      <c r="N402" t="str">
        <f t="shared" si="5"/>
        <v xml:space="preserve"> 0.5167</v>
      </c>
      <c r="Q402">
        <v>0.51670000000000005</v>
      </c>
      <c r="R402">
        <v>7</v>
      </c>
    </row>
    <row r="403" spans="1:18" x14ac:dyDescent="0.2">
      <c r="A403">
        <v>374</v>
      </c>
      <c r="B403" t="s">
        <v>113</v>
      </c>
      <c r="C403" t="s">
        <v>1472</v>
      </c>
      <c r="D403">
        <v>-0.72499999999999998</v>
      </c>
      <c r="E403">
        <v>9</v>
      </c>
      <c r="F403" t="s">
        <v>1038</v>
      </c>
      <c r="G403" t="s">
        <v>64</v>
      </c>
      <c r="H403" t="s">
        <v>65</v>
      </c>
      <c r="I403" t="s">
        <v>228</v>
      </c>
      <c r="J403" t="s">
        <v>1473</v>
      </c>
      <c r="L403" t="s">
        <v>2618</v>
      </c>
      <c r="N403" t="str">
        <f t="shared" si="5"/>
        <v xml:space="preserve"> 1.3681</v>
      </c>
      <c r="Q403">
        <v>1.3681000000000001</v>
      </c>
      <c r="R403">
        <v>9</v>
      </c>
    </row>
    <row r="404" spans="1:18" x14ac:dyDescent="0.2">
      <c r="A404">
        <v>375</v>
      </c>
      <c r="B404" t="s">
        <v>74</v>
      </c>
      <c r="C404" t="s">
        <v>1474</v>
      </c>
      <c r="D404">
        <v>-0.71599999999999997</v>
      </c>
      <c r="E404">
        <v>8</v>
      </c>
      <c r="F404" t="s">
        <v>1217</v>
      </c>
      <c r="G404" t="s">
        <v>33</v>
      </c>
      <c r="H404" t="s">
        <v>34</v>
      </c>
      <c r="I404" t="s">
        <v>228</v>
      </c>
      <c r="J404" t="s">
        <v>1475</v>
      </c>
      <c r="L404" t="s">
        <v>2619</v>
      </c>
      <c r="N404" t="str">
        <f t="shared" si="5"/>
        <v xml:space="preserve"> 2.2442</v>
      </c>
      <c r="Q404">
        <v>2.2442000000000002</v>
      </c>
      <c r="R404">
        <v>8</v>
      </c>
    </row>
    <row r="405" spans="1:18" x14ac:dyDescent="0.2">
      <c r="A405">
        <v>376</v>
      </c>
      <c r="B405" t="s">
        <v>127</v>
      </c>
      <c r="C405" t="s">
        <v>1476</v>
      </c>
      <c r="D405">
        <v>0.36099999999999999</v>
      </c>
      <c r="E405">
        <v>4</v>
      </c>
      <c r="F405" t="s">
        <v>690</v>
      </c>
      <c r="G405" t="s">
        <v>33</v>
      </c>
      <c r="H405" t="s">
        <v>40</v>
      </c>
      <c r="I405" t="s">
        <v>228</v>
      </c>
      <c r="J405" t="s">
        <v>1477</v>
      </c>
      <c r="L405" t="s">
        <v>2620</v>
      </c>
      <c r="N405" t="str">
        <f t="shared" si="5"/>
        <v xml:space="preserve"> 1.6753</v>
      </c>
      <c r="Q405">
        <v>1.6753</v>
      </c>
      <c r="R405">
        <v>4</v>
      </c>
    </row>
    <row r="406" spans="1:18" x14ac:dyDescent="0.2">
      <c r="A406">
        <v>377</v>
      </c>
      <c r="B406" t="s">
        <v>118</v>
      </c>
      <c r="C406" t="s">
        <v>1478</v>
      </c>
      <c r="D406">
        <v>-0.42699999999999999</v>
      </c>
      <c r="E406">
        <v>7</v>
      </c>
      <c r="F406" t="s">
        <v>876</v>
      </c>
      <c r="G406" t="s">
        <v>64</v>
      </c>
      <c r="H406" t="s">
        <v>40</v>
      </c>
      <c r="I406" t="s">
        <v>165</v>
      </c>
      <c r="J406" t="s">
        <v>1479</v>
      </c>
      <c r="L406" t="s">
        <v>2621</v>
      </c>
      <c r="N406" t="str">
        <f t="shared" si="5"/>
        <v xml:space="preserve"> 1.8926</v>
      </c>
      <c r="Q406">
        <v>1.8926000000000001</v>
      </c>
      <c r="R406">
        <v>7</v>
      </c>
    </row>
    <row r="407" spans="1:18" x14ac:dyDescent="0.2">
      <c r="A407">
        <v>378</v>
      </c>
      <c r="B407" t="s">
        <v>135</v>
      </c>
      <c r="C407" t="s">
        <v>1480</v>
      </c>
      <c r="D407">
        <v>-0.76200000000000001</v>
      </c>
      <c r="E407">
        <v>9</v>
      </c>
      <c r="F407" t="s">
        <v>1364</v>
      </c>
      <c r="G407" t="s">
        <v>33</v>
      </c>
      <c r="H407" t="s">
        <v>34</v>
      </c>
      <c r="I407" t="s">
        <v>228</v>
      </c>
      <c r="J407" t="s">
        <v>1481</v>
      </c>
      <c r="L407" t="s">
        <v>2622</v>
      </c>
      <c r="N407" t="str">
        <f t="shared" si="5"/>
        <v xml:space="preserve"> 2.8769</v>
      </c>
      <c r="Q407">
        <v>2.8769</v>
      </c>
      <c r="R407">
        <v>9</v>
      </c>
    </row>
    <row r="408" spans="1:18" x14ac:dyDescent="0.2">
      <c r="A408">
        <v>379</v>
      </c>
      <c r="B408" t="s">
        <v>97</v>
      </c>
      <c r="C408" t="s">
        <v>1482</v>
      </c>
      <c r="D408">
        <v>-0.80400000000000005</v>
      </c>
      <c r="E408">
        <v>9</v>
      </c>
      <c r="F408" t="s">
        <v>1054</v>
      </c>
      <c r="G408" t="s">
        <v>33</v>
      </c>
      <c r="H408" t="s">
        <v>34</v>
      </c>
      <c r="I408" t="s">
        <v>228</v>
      </c>
      <c r="J408" t="s">
        <v>1483</v>
      </c>
      <c r="L408" t="s">
        <v>2623</v>
      </c>
      <c r="N408" t="str">
        <f t="shared" si="5"/>
        <v xml:space="preserve"> 3.2837</v>
      </c>
      <c r="Q408">
        <v>3.2837000000000001</v>
      </c>
      <c r="R408">
        <v>9</v>
      </c>
    </row>
    <row r="409" spans="1:18" x14ac:dyDescent="0.2">
      <c r="A409">
        <v>380</v>
      </c>
      <c r="B409" t="s">
        <v>108</v>
      </c>
      <c r="C409" t="s">
        <v>1484</v>
      </c>
      <c r="D409">
        <v>-0.74399999999999999</v>
      </c>
      <c r="E409">
        <v>9</v>
      </c>
      <c r="F409" t="s">
        <v>1160</v>
      </c>
      <c r="G409" t="s">
        <v>33</v>
      </c>
      <c r="H409" t="s">
        <v>34</v>
      </c>
      <c r="I409" t="s">
        <v>228</v>
      </c>
      <c r="J409" t="s">
        <v>1485</v>
      </c>
      <c r="L409" t="s">
        <v>2624</v>
      </c>
      <c r="N409" t="str">
        <f t="shared" si="5"/>
        <v xml:space="preserve"> 2.8158</v>
      </c>
      <c r="Q409">
        <v>2.8157999999999999</v>
      </c>
      <c r="R409">
        <v>9</v>
      </c>
    </row>
    <row r="410" spans="1:18" x14ac:dyDescent="0.2">
      <c r="A410">
        <v>381</v>
      </c>
      <c r="B410" t="s">
        <v>194</v>
      </c>
      <c r="C410" t="s">
        <v>1486</v>
      </c>
      <c r="D410">
        <v>-0.82899999999999996</v>
      </c>
      <c r="E410">
        <v>9</v>
      </c>
      <c r="F410" t="s">
        <v>1095</v>
      </c>
      <c r="G410" t="s">
        <v>33</v>
      </c>
      <c r="H410" t="s">
        <v>34</v>
      </c>
      <c r="I410" t="s">
        <v>228</v>
      </c>
      <c r="J410" t="s">
        <v>1487</v>
      </c>
      <c r="L410" t="s">
        <v>2625</v>
      </c>
      <c r="N410" t="str">
        <f t="shared" si="5"/>
        <v xml:space="preserve"> 3.2778</v>
      </c>
      <c r="Q410">
        <v>3.2778</v>
      </c>
      <c r="R410">
        <v>9</v>
      </c>
    </row>
    <row r="411" spans="1:18" x14ac:dyDescent="0.2">
      <c r="A411">
        <v>382</v>
      </c>
      <c r="B411" t="s">
        <v>30</v>
      </c>
      <c r="C411" t="s">
        <v>1488</v>
      </c>
      <c r="D411">
        <v>-0.79900000000000004</v>
      </c>
      <c r="E411">
        <v>9</v>
      </c>
      <c r="F411" t="s">
        <v>1054</v>
      </c>
      <c r="G411" t="s">
        <v>64</v>
      </c>
      <c r="H411" t="s">
        <v>65</v>
      </c>
      <c r="I411" t="s">
        <v>228</v>
      </c>
      <c r="J411" t="s">
        <v>1489</v>
      </c>
      <c r="L411" t="s">
        <v>2626</v>
      </c>
      <c r="N411" t="str">
        <f t="shared" si="5"/>
        <v xml:space="preserve"> 3.9995</v>
      </c>
      <c r="Q411">
        <v>3.9994999999999998</v>
      </c>
      <c r="R411">
        <v>9</v>
      </c>
    </row>
    <row r="412" spans="1:18" x14ac:dyDescent="0.2">
      <c r="A412">
        <v>383</v>
      </c>
      <c r="B412" t="s">
        <v>123</v>
      </c>
      <c r="C412" t="s">
        <v>1490</v>
      </c>
      <c r="D412">
        <v>-0.68700000000000006</v>
      </c>
      <c r="E412">
        <v>8</v>
      </c>
      <c r="F412" t="s">
        <v>1224</v>
      </c>
      <c r="G412" t="s">
        <v>33</v>
      </c>
      <c r="H412" t="s">
        <v>34</v>
      </c>
      <c r="I412" t="s">
        <v>228</v>
      </c>
      <c r="J412" t="s">
        <v>1491</v>
      </c>
      <c r="L412" t="s">
        <v>2627</v>
      </c>
      <c r="N412" t="str">
        <f t="shared" si="5"/>
        <v xml:space="preserve"> 3.6529</v>
      </c>
      <c r="Q412">
        <v>3.6528999999999998</v>
      </c>
      <c r="R412">
        <v>8</v>
      </c>
    </row>
    <row r="413" spans="1:18" x14ac:dyDescent="0.2">
      <c r="A413">
        <v>384</v>
      </c>
      <c r="B413" t="s">
        <v>52</v>
      </c>
      <c r="C413" t="s">
        <v>1492</v>
      </c>
      <c r="D413">
        <v>-0.82699999999999996</v>
      </c>
      <c r="E413">
        <v>9</v>
      </c>
      <c r="F413" t="s">
        <v>1100</v>
      </c>
      <c r="G413" t="s">
        <v>64</v>
      </c>
      <c r="H413" t="s">
        <v>65</v>
      </c>
      <c r="I413" t="s">
        <v>228</v>
      </c>
      <c r="J413" t="s">
        <v>1493</v>
      </c>
      <c r="L413" t="s">
        <v>2628</v>
      </c>
      <c r="N413" t="str">
        <f t="shared" si="5"/>
        <v xml:space="preserve"> 3.2250</v>
      </c>
      <c r="Q413">
        <v>3.2250000000000001</v>
      </c>
      <c r="R413">
        <v>9</v>
      </c>
    </row>
    <row r="414" spans="1:18" x14ac:dyDescent="0.2">
      <c r="A414">
        <v>385</v>
      </c>
      <c r="B414" t="s">
        <v>74</v>
      </c>
      <c r="C414" t="s">
        <v>1494</v>
      </c>
      <c r="D414">
        <v>-0.66500000000000004</v>
      </c>
      <c r="E414">
        <v>8</v>
      </c>
      <c r="F414" t="s">
        <v>1303</v>
      </c>
      <c r="G414" t="s">
        <v>33</v>
      </c>
      <c r="H414" t="s">
        <v>34</v>
      </c>
      <c r="I414" t="s">
        <v>228</v>
      </c>
      <c r="J414" t="s">
        <v>1495</v>
      </c>
      <c r="L414" t="s">
        <v>2629</v>
      </c>
      <c r="N414" t="str">
        <f t="shared" si="5"/>
        <v xml:space="preserve"> 4.6815</v>
      </c>
      <c r="Q414">
        <v>4.6814999999999998</v>
      </c>
      <c r="R414">
        <v>8</v>
      </c>
    </row>
    <row r="415" spans="1:18" x14ac:dyDescent="0.2">
      <c r="A415">
        <v>386</v>
      </c>
      <c r="B415" t="s">
        <v>43</v>
      </c>
      <c r="C415" t="s">
        <v>1496</v>
      </c>
      <c r="D415">
        <v>-0.80700000000000005</v>
      </c>
      <c r="E415">
        <v>9</v>
      </c>
      <c r="F415" t="s">
        <v>1208</v>
      </c>
      <c r="G415" t="s">
        <v>33</v>
      </c>
      <c r="H415" t="s">
        <v>34</v>
      </c>
      <c r="I415" t="s">
        <v>228</v>
      </c>
      <c r="J415" t="s">
        <v>1497</v>
      </c>
      <c r="L415" t="s">
        <v>2630</v>
      </c>
      <c r="N415" t="str">
        <f t="shared" si="5"/>
        <v xml:space="preserve"> 5.3507</v>
      </c>
      <c r="Q415">
        <v>5.3506999999999998</v>
      </c>
      <c r="R415">
        <v>9</v>
      </c>
    </row>
    <row r="416" spans="1:18" x14ac:dyDescent="0.2">
      <c r="A416">
        <v>387</v>
      </c>
      <c r="B416" t="s">
        <v>135</v>
      </c>
      <c r="C416" t="s">
        <v>1498</v>
      </c>
      <c r="D416">
        <v>0.38</v>
      </c>
      <c r="E416">
        <v>4</v>
      </c>
      <c r="F416" t="s">
        <v>690</v>
      </c>
      <c r="G416" t="s">
        <v>33</v>
      </c>
      <c r="H416" t="s">
        <v>40</v>
      </c>
      <c r="I416" t="s">
        <v>228</v>
      </c>
      <c r="J416" t="s">
        <v>1499</v>
      </c>
      <c r="L416" t="s">
        <v>2631</v>
      </c>
      <c r="N416" t="str">
        <f t="shared" si="5"/>
        <v xml:space="preserve"> 5.3315</v>
      </c>
      <c r="Q416">
        <v>5.3315000000000001</v>
      </c>
      <c r="R416">
        <v>4</v>
      </c>
    </row>
    <row r="417" spans="1:18" x14ac:dyDescent="0.2">
      <c r="A417">
        <v>388</v>
      </c>
      <c r="B417" t="s">
        <v>101</v>
      </c>
      <c r="C417" t="s">
        <v>1500</v>
      </c>
      <c r="D417">
        <v>-0.66</v>
      </c>
      <c r="E417">
        <v>8</v>
      </c>
      <c r="F417" t="s">
        <v>1303</v>
      </c>
      <c r="G417" t="s">
        <v>33</v>
      </c>
      <c r="H417" t="s">
        <v>34</v>
      </c>
      <c r="I417" t="s">
        <v>228</v>
      </c>
      <c r="J417" t="s">
        <v>1501</v>
      </c>
      <c r="L417" t="s">
        <v>2632</v>
      </c>
      <c r="N417" t="str">
        <f t="shared" si="5"/>
        <v xml:space="preserve"> 5.4393</v>
      </c>
      <c r="Q417">
        <v>5.4393000000000002</v>
      </c>
      <c r="R417">
        <v>8</v>
      </c>
    </row>
    <row r="418" spans="1:18" x14ac:dyDescent="0.2">
      <c r="A418">
        <v>389</v>
      </c>
      <c r="B418" t="s">
        <v>37</v>
      </c>
      <c r="C418" t="s">
        <v>1502</v>
      </c>
      <c r="D418">
        <v>-0.85299999999999998</v>
      </c>
      <c r="E418">
        <v>9</v>
      </c>
      <c r="F418" t="s">
        <v>891</v>
      </c>
      <c r="G418" t="s">
        <v>33</v>
      </c>
      <c r="H418" t="s">
        <v>34</v>
      </c>
      <c r="I418" t="s">
        <v>228</v>
      </c>
      <c r="J418" t="s">
        <v>1503</v>
      </c>
      <c r="L418" t="s">
        <v>2633</v>
      </c>
      <c r="N418" t="str">
        <f t="shared" si="5"/>
        <v xml:space="preserve"> 5.3367</v>
      </c>
      <c r="Q418">
        <v>5.3367000000000004</v>
      </c>
      <c r="R418">
        <v>9</v>
      </c>
    </row>
    <row r="419" spans="1:18" x14ac:dyDescent="0.2">
      <c r="A419">
        <v>390</v>
      </c>
      <c r="B419" t="s">
        <v>123</v>
      </c>
      <c r="C419" t="s">
        <v>1504</v>
      </c>
      <c r="D419">
        <v>-5.0999999999999997E-2</v>
      </c>
      <c r="E419">
        <v>5</v>
      </c>
      <c r="F419" t="s">
        <v>701</v>
      </c>
      <c r="G419" t="s">
        <v>33</v>
      </c>
      <c r="H419" t="s">
        <v>40</v>
      </c>
      <c r="I419" t="s">
        <v>228</v>
      </c>
      <c r="J419" t="s">
        <v>1505</v>
      </c>
      <c r="L419" t="s">
        <v>2634</v>
      </c>
      <c r="N419" t="str">
        <f t="shared" si="5"/>
        <v xml:space="preserve"> 4.8394</v>
      </c>
      <c r="Q419">
        <v>4.8394000000000004</v>
      </c>
      <c r="R419">
        <v>5</v>
      </c>
    </row>
    <row r="420" spans="1:18" x14ac:dyDescent="0.2">
      <c r="A420">
        <v>391</v>
      </c>
      <c r="B420" t="s">
        <v>118</v>
      </c>
      <c r="C420" t="s">
        <v>1506</v>
      </c>
      <c r="D420">
        <v>-0.874</v>
      </c>
      <c r="E420">
        <v>9</v>
      </c>
      <c r="F420" t="s">
        <v>1045</v>
      </c>
      <c r="G420" t="s">
        <v>64</v>
      </c>
      <c r="H420" t="s">
        <v>65</v>
      </c>
      <c r="I420" t="s">
        <v>228</v>
      </c>
      <c r="J420" t="s">
        <v>1507</v>
      </c>
      <c r="L420" t="s">
        <v>2635</v>
      </c>
      <c r="N420" t="str">
        <f t="shared" si="5"/>
        <v xml:space="preserve"> 5.1685</v>
      </c>
      <c r="Q420">
        <v>5.1684999999999999</v>
      </c>
      <c r="R420">
        <v>9</v>
      </c>
    </row>
    <row r="421" spans="1:18" x14ac:dyDescent="0.2">
      <c r="A421">
        <v>392</v>
      </c>
      <c r="B421" t="s">
        <v>94</v>
      </c>
      <c r="C421" t="s">
        <v>1508</v>
      </c>
      <c r="D421">
        <v>-0.89800000000000002</v>
      </c>
      <c r="E421">
        <v>9</v>
      </c>
      <c r="F421" t="s">
        <v>675</v>
      </c>
      <c r="G421" t="s">
        <v>64</v>
      </c>
      <c r="H421" t="s">
        <v>65</v>
      </c>
      <c r="I421" t="s">
        <v>228</v>
      </c>
      <c r="J421" t="s">
        <v>383</v>
      </c>
      <c r="L421" t="s">
        <v>2636</v>
      </c>
      <c r="N421" t="str">
        <f t="shared" si="5"/>
        <v xml:space="preserve"> 3.7339</v>
      </c>
      <c r="Q421">
        <v>3.7339000000000002</v>
      </c>
      <c r="R421">
        <v>9</v>
      </c>
    </row>
    <row r="422" spans="1:18" x14ac:dyDescent="0.2">
      <c r="A422">
        <v>393</v>
      </c>
      <c r="B422" t="s">
        <v>156</v>
      </c>
      <c r="C422" t="s">
        <v>1509</v>
      </c>
      <c r="D422">
        <v>-0.47499999999999998</v>
      </c>
      <c r="E422">
        <v>7</v>
      </c>
      <c r="F422" t="s">
        <v>1187</v>
      </c>
      <c r="G422" t="s">
        <v>33</v>
      </c>
      <c r="H422" t="s">
        <v>40</v>
      </c>
      <c r="I422" t="s">
        <v>228</v>
      </c>
      <c r="J422" t="s">
        <v>1510</v>
      </c>
      <c r="L422" t="s">
        <v>2637</v>
      </c>
      <c r="N422" t="str">
        <f t="shared" si="5"/>
        <v xml:space="preserve"> 3.7014</v>
      </c>
      <c r="Q422">
        <v>3.7014</v>
      </c>
      <c r="R422">
        <v>7</v>
      </c>
    </row>
    <row r="423" spans="1:18" x14ac:dyDescent="0.2">
      <c r="A423">
        <v>394</v>
      </c>
      <c r="B423" t="s">
        <v>118</v>
      </c>
      <c r="C423" t="s">
        <v>1511</v>
      </c>
      <c r="D423">
        <v>-0.82599999999999996</v>
      </c>
      <c r="E423">
        <v>9</v>
      </c>
      <c r="F423" t="s">
        <v>1100</v>
      </c>
      <c r="G423" t="s">
        <v>64</v>
      </c>
      <c r="H423" t="s">
        <v>65</v>
      </c>
      <c r="I423" t="s">
        <v>165</v>
      </c>
      <c r="J423" t="s">
        <v>1512</v>
      </c>
      <c r="L423" t="s">
        <v>2638</v>
      </c>
      <c r="N423" t="str">
        <f t="shared" si="5"/>
        <v xml:space="preserve"> 3.4954</v>
      </c>
      <c r="Q423">
        <v>3.4954000000000001</v>
      </c>
      <c r="R423">
        <v>9</v>
      </c>
    </row>
    <row r="424" spans="1:18" x14ac:dyDescent="0.2">
      <c r="A424">
        <v>395</v>
      </c>
      <c r="B424" t="s">
        <v>108</v>
      </c>
      <c r="C424" t="s">
        <v>1513</v>
      </c>
      <c r="D424">
        <v>0.36199999999999999</v>
      </c>
      <c r="E424">
        <v>4</v>
      </c>
      <c r="F424" t="s">
        <v>690</v>
      </c>
      <c r="G424" t="s">
        <v>33</v>
      </c>
      <c r="H424" t="s">
        <v>40</v>
      </c>
      <c r="I424" t="s">
        <v>165</v>
      </c>
      <c r="J424" t="s">
        <v>1514</v>
      </c>
      <c r="L424" t="s">
        <v>2639</v>
      </c>
      <c r="N424" t="str">
        <f t="shared" si="5"/>
        <v xml:space="preserve"> 3.6866</v>
      </c>
      <c r="Q424">
        <v>3.6865999999999999</v>
      </c>
      <c r="R424">
        <v>4</v>
      </c>
    </row>
    <row r="425" spans="1:18" x14ac:dyDescent="0.2">
      <c r="A425">
        <v>396</v>
      </c>
      <c r="B425" t="s">
        <v>135</v>
      </c>
      <c r="C425" t="s">
        <v>1515</v>
      </c>
      <c r="D425">
        <v>1.1930000000000001</v>
      </c>
      <c r="E425">
        <v>3</v>
      </c>
      <c r="F425" t="s">
        <v>764</v>
      </c>
      <c r="G425" t="s">
        <v>33</v>
      </c>
      <c r="H425" t="s">
        <v>40</v>
      </c>
      <c r="I425" t="s">
        <v>469</v>
      </c>
      <c r="J425" t="s">
        <v>1516</v>
      </c>
      <c r="L425" t="s">
        <v>2640</v>
      </c>
      <c r="N425" t="str">
        <f t="shared" si="5"/>
        <v xml:space="preserve"> 1.8403</v>
      </c>
      <c r="Q425">
        <v>1.8403</v>
      </c>
      <c r="R425">
        <v>3</v>
      </c>
    </row>
    <row r="426" spans="1:18" x14ac:dyDescent="0.2">
      <c r="A426">
        <v>397</v>
      </c>
      <c r="B426" t="s">
        <v>142</v>
      </c>
      <c r="C426" t="s">
        <v>1517</v>
      </c>
      <c r="D426">
        <v>-0.52200000000000002</v>
      </c>
      <c r="E426">
        <v>8</v>
      </c>
      <c r="F426" t="s">
        <v>882</v>
      </c>
      <c r="G426" t="s">
        <v>64</v>
      </c>
      <c r="H426" t="s">
        <v>40</v>
      </c>
      <c r="I426" t="s">
        <v>933</v>
      </c>
      <c r="J426" t="s">
        <v>1518</v>
      </c>
      <c r="L426" t="s">
        <v>2641</v>
      </c>
      <c r="N426" t="str">
        <f t="shared" si="5"/>
        <v xml:space="preserve"> 3.1703</v>
      </c>
      <c r="Q426">
        <v>3.1703000000000001</v>
      </c>
      <c r="R426">
        <v>8</v>
      </c>
    </row>
    <row r="427" spans="1:18" x14ac:dyDescent="0.2">
      <c r="A427">
        <v>398</v>
      </c>
      <c r="B427" t="s">
        <v>74</v>
      </c>
      <c r="C427" t="s">
        <v>1519</v>
      </c>
      <c r="D427">
        <v>5.7000000000000002E-2</v>
      </c>
      <c r="E427">
        <v>5</v>
      </c>
      <c r="F427" t="s">
        <v>696</v>
      </c>
      <c r="G427" t="s">
        <v>33</v>
      </c>
      <c r="H427" t="s">
        <v>40</v>
      </c>
      <c r="I427" t="s">
        <v>933</v>
      </c>
      <c r="J427" t="s">
        <v>1520</v>
      </c>
      <c r="L427" t="s">
        <v>2642</v>
      </c>
      <c r="N427" t="str">
        <f t="shared" si="5"/>
        <v xml:space="preserve"> 2.5396</v>
      </c>
      <c r="Q427">
        <v>2.5396000000000001</v>
      </c>
      <c r="R427">
        <v>5</v>
      </c>
    </row>
    <row r="428" spans="1:18" x14ac:dyDescent="0.2">
      <c r="A428">
        <v>399</v>
      </c>
      <c r="B428" t="s">
        <v>108</v>
      </c>
      <c r="C428" t="s">
        <v>1521</v>
      </c>
      <c r="D428">
        <v>0.20499999999999999</v>
      </c>
      <c r="E428">
        <v>5</v>
      </c>
      <c r="F428" t="s">
        <v>783</v>
      </c>
      <c r="G428" t="s">
        <v>33</v>
      </c>
      <c r="H428" t="s">
        <v>40</v>
      </c>
      <c r="I428" t="s">
        <v>933</v>
      </c>
      <c r="J428" t="s">
        <v>1522</v>
      </c>
      <c r="L428" t="s">
        <v>2643</v>
      </c>
      <c r="N428" t="str">
        <f t="shared" si="5"/>
        <v xml:space="preserve"> 4.1841</v>
      </c>
      <c r="Q428">
        <v>4.1840999999999999</v>
      </c>
      <c r="R428">
        <v>5</v>
      </c>
    </row>
    <row r="429" spans="1:18" x14ac:dyDescent="0.2">
      <c r="A429">
        <v>400</v>
      </c>
      <c r="B429" t="s">
        <v>142</v>
      </c>
      <c r="C429" t="s">
        <v>1523</v>
      </c>
      <c r="D429">
        <v>0.20200000000000001</v>
      </c>
      <c r="E429">
        <v>5</v>
      </c>
      <c r="F429" t="s">
        <v>711</v>
      </c>
      <c r="G429" t="s">
        <v>33</v>
      </c>
      <c r="H429" t="s">
        <v>40</v>
      </c>
      <c r="I429" t="s">
        <v>933</v>
      </c>
      <c r="J429" t="s">
        <v>1524</v>
      </c>
      <c r="L429" t="s">
        <v>2644</v>
      </c>
      <c r="N429" t="str">
        <f t="shared" si="5"/>
        <v xml:space="preserve"> 4.1809</v>
      </c>
      <c r="Q429">
        <v>4.1809000000000003</v>
      </c>
      <c r="R429">
        <v>5</v>
      </c>
    </row>
    <row r="430" spans="1:18" x14ac:dyDescent="0.2">
      <c r="A430">
        <v>401</v>
      </c>
      <c r="B430" t="s">
        <v>135</v>
      </c>
      <c r="C430" t="s">
        <v>1525</v>
      </c>
      <c r="D430">
        <v>0.624</v>
      </c>
      <c r="E430">
        <v>4</v>
      </c>
      <c r="F430" t="s">
        <v>682</v>
      </c>
      <c r="G430" t="s">
        <v>33</v>
      </c>
      <c r="H430" t="s">
        <v>40</v>
      </c>
      <c r="I430" t="s">
        <v>933</v>
      </c>
      <c r="J430" t="s">
        <v>1526</v>
      </c>
      <c r="L430" t="s">
        <v>2645</v>
      </c>
      <c r="N430" t="str">
        <f t="shared" si="5"/>
        <v xml:space="preserve"> 4.2733</v>
      </c>
      <c r="Q430">
        <v>4.2732999999999999</v>
      </c>
      <c r="R430">
        <v>4</v>
      </c>
    </row>
    <row r="431" spans="1:18" x14ac:dyDescent="0.2">
      <c r="A431">
        <v>402</v>
      </c>
      <c r="B431" t="s">
        <v>127</v>
      </c>
      <c r="C431" t="s">
        <v>1527</v>
      </c>
      <c r="D431">
        <v>0.223</v>
      </c>
      <c r="E431">
        <v>5</v>
      </c>
      <c r="F431" t="s">
        <v>783</v>
      </c>
      <c r="G431" t="s">
        <v>33</v>
      </c>
      <c r="H431" t="s">
        <v>40</v>
      </c>
      <c r="I431" t="s">
        <v>936</v>
      </c>
      <c r="J431" t="s">
        <v>1528</v>
      </c>
      <c r="L431" t="s">
        <v>2646</v>
      </c>
      <c r="N431" t="str">
        <f t="shared" si="5"/>
        <v xml:space="preserve"> 4.4203</v>
      </c>
      <c r="Q431">
        <v>4.4203000000000001</v>
      </c>
      <c r="R431">
        <v>5</v>
      </c>
    </row>
    <row r="432" spans="1:18" x14ac:dyDescent="0.2">
      <c r="A432">
        <v>403</v>
      </c>
      <c r="B432" t="s">
        <v>37</v>
      </c>
      <c r="C432" t="s">
        <v>1529</v>
      </c>
      <c r="D432">
        <v>2.569</v>
      </c>
      <c r="E432">
        <v>1</v>
      </c>
      <c r="F432" t="s">
        <v>684</v>
      </c>
      <c r="G432" t="s">
        <v>33</v>
      </c>
      <c r="H432" t="s">
        <v>40</v>
      </c>
      <c r="I432" t="s">
        <v>936</v>
      </c>
      <c r="J432" t="s">
        <v>1530</v>
      </c>
      <c r="L432" t="s">
        <v>2647</v>
      </c>
      <c r="N432" t="str">
        <f t="shared" si="5"/>
        <v xml:space="preserve"> 5.0622</v>
      </c>
      <c r="Q432">
        <v>5.0621999999999998</v>
      </c>
      <c r="R432">
        <v>1</v>
      </c>
    </row>
    <row r="433" spans="1:18" x14ac:dyDescent="0.2">
      <c r="A433">
        <v>404</v>
      </c>
      <c r="B433" t="s">
        <v>97</v>
      </c>
      <c r="C433" t="s">
        <v>1531</v>
      </c>
      <c r="D433">
        <v>-0.246</v>
      </c>
      <c r="E433">
        <v>6</v>
      </c>
      <c r="F433" t="s">
        <v>726</v>
      </c>
      <c r="G433" t="s">
        <v>33</v>
      </c>
      <c r="H433" t="s">
        <v>40</v>
      </c>
      <c r="I433" t="s">
        <v>933</v>
      </c>
      <c r="J433" t="s">
        <v>1532</v>
      </c>
      <c r="L433" t="s">
        <v>2648</v>
      </c>
      <c r="N433" t="str">
        <f t="shared" si="5"/>
        <v xml:space="preserve"> 9.6973</v>
      </c>
      <c r="Q433">
        <v>9.6973000000000003</v>
      </c>
      <c r="R433">
        <v>6</v>
      </c>
    </row>
    <row r="434" spans="1:18" x14ac:dyDescent="0.2">
      <c r="A434">
        <v>405</v>
      </c>
      <c r="B434" t="s">
        <v>37</v>
      </c>
      <c r="C434" t="s">
        <v>1533</v>
      </c>
      <c r="D434">
        <v>-2.7E-2</v>
      </c>
      <c r="E434">
        <v>5</v>
      </c>
      <c r="F434" t="s">
        <v>701</v>
      </c>
      <c r="G434" t="s">
        <v>33</v>
      </c>
      <c r="H434" t="s">
        <v>40</v>
      </c>
      <c r="I434" t="s">
        <v>933</v>
      </c>
      <c r="J434" t="s">
        <v>1534</v>
      </c>
      <c r="L434" t="s">
        <v>2649</v>
      </c>
      <c r="N434" t="str">
        <f t="shared" si="5"/>
        <v xml:space="preserve"> 10.833</v>
      </c>
      <c r="Q434">
        <v>10.833</v>
      </c>
      <c r="R434">
        <v>5</v>
      </c>
    </row>
    <row r="435" spans="1:18" x14ac:dyDescent="0.2">
      <c r="A435">
        <v>406</v>
      </c>
      <c r="B435" t="s">
        <v>113</v>
      </c>
      <c r="C435" t="s">
        <v>1535</v>
      </c>
      <c r="D435">
        <v>0.49299999999999999</v>
      </c>
      <c r="E435">
        <v>4</v>
      </c>
      <c r="F435" t="s">
        <v>678</v>
      </c>
      <c r="G435" t="s">
        <v>64</v>
      </c>
      <c r="H435" t="s">
        <v>40</v>
      </c>
      <c r="I435" t="s">
        <v>861</v>
      </c>
      <c r="J435" t="s">
        <v>1536</v>
      </c>
      <c r="L435" t="s">
        <v>2650</v>
      </c>
      <c r="N435" t="str">
        <f t="shared" si="5"/>
        <v xml:space="preserve"> 12.709</v>
      </c>
      <c r="Q435">
        <v>12.709</v>
      </c>
      <c r="R435">
        <v>4</v>
      </c>
    </row>
    <row r="436" spans="1:18" x14ac:dyDescent="0.2">
      <c r="A436">
        <v>407</v>
      </c>
      <c r="B436" t="s">
        <v>142</v>
      </c>
      <c r="C436" t="s">
        <v>1537</v>
      </c>
      <c r="D436">
        <v>1.2999999999999999E-2</v>
      </c>
      <c r="E436">
        <v>5</v>
      </c>
      <c r="F436" t="s">
        <v>1338</v>
      </c>
      <c r="G436" t="s">
        <v>64</v>
      </c>
      <c r="H436" t="s">
        <v>40</v>
      </c>
      <c r="I436" t="s">
        <v>861</v>
      </c>
      <c r="J436" t="s">
        <v>1538</v>
      </c>
      <c r="L436" t="s">
        <v>2651</v>
      </c>
      <c r="N436" t="str">
        <f t="shared" si="5"/>
        <v xml:space="preserve"> 6.9191</v>
      </c>
      <c r="Q436">
        <v>6.9191000000000003</v>
      </c>
      <c r="R436">
        <v>5</v>
      </c>
    </row>
    <row r="437" spans="1:18" x14ac:dyDescent="0.2">
      <c r="A437">
        <v>408</v>
      </c>
      <c r="B437" t="s">
        <v>37</v>
      </c>
      <c r="C437" t="s">
        <v>1539</v>
      </c>
      <c r="D437">
        <v>0.27800000000000002</v>
      </c>
      <c r="E437">
        <v>5</v>
      </c>
      <c r="F437" t="s">
        <v>783</v>
      </c>
      <c r="G437" t="s">
        <v>33</v>
      </c>
      <c r="H437" t="s">
        <v>40</v>
      </c>
      <c r="I437" t="s">
        <v>861</v>
      </c>
      <c r="J437" t="s">
        <v>1540</v>
      </c>
      <c r="L437" t="s">
        <v>2652</v>
      </c>
      <c r="N437" t="str">
        <f t="shared" si="5"/>
        <v xml:space="preserve"> 7.2805</v>
      </c>
      <c r="Q437">
        <v>7.2805</v>
      </c>
      <c r="R437">
        <v>5</v>
      </c>
    </row>
    <row r="438" spans="1:18" x14ac:dyDescent="0.2">
      <c r="A438">
        <v>409</v>
      </c>
      <c r="B438" t="s">
        <v>142</v>
      </c>
      <c r="C438" t="s">
        <v>1541</v>
      </c>
      <c r="D438">
        <v>0.26700000000000002</v>
      </c>
      <c r="E438">
        <v>5</v>
      </c>
      <c r="F438" t="s">
        <v>783</v>
      </c>
      <c r="G438" t="s">
        <v>64</v>
      </c>
      <c r="H438" t="s">
        <v>40</v>
      </c>
      <c r="I438" t="s">
        <v>861</v>
      </c>
      <c r="J438" t="s">
        <v>1542</v>
      </c>
      <c r="L438" t="s">
        <v>2653</v>
      </c>
      <c r="N438" t="str">
        <f t="shared" si="5"/>
        <v xml:space="preserve"> 9.4149</v>
      </c>
      <c r="Q438">
        <v>9.4148999999999994</v>
      </c>
      <c r="R438">
        <v>5</v>
      </c>
    </row>
    <row r="439" spans="1:18" x14ac:dyDescent="0.2">
      <c r="A439">
        <v>410</v>
      </c>
      <c r="B439" t="s">
        <v>127</v>
      </c>
      <c r="C439" t="s">
        <v>1543</v>
      </c>
      <c r="D439">
        <v>0.90400000000000003</v>
      </c>
      <c r="E439">
        <v>4</v>
      </c>
      <c r="F439" t="s">
        <v>759</v>
      </c>
      <c r="G439" t="s">
        <v>33</v>
      </c>
      <c r="H439" t="s">
        <v>40</v>
      </c>
      <c r="I439" t="s">
        <v>495</v>
      </c>
      <c r="J439" t="s">
        <v>1544</v>
      </c>
      <c r="L439" t="s">
        <v>2654</v>
      </c>
      <c r="N439" t="str">
        <f t="shared" si="5"/>
        <v xml:space="preserve"> 3.0605</v>
      </c>
      <c r="Q439">
        <v>3.0605000000000002</v>
      </c>
      <c r="R439">
        <v>4</v>
      </c>
    </row>
    <row r="440" spans="1:18" x14ac:dyDescent="0.2">
      <c r="A440">
        <v>411</v>
      </c>
      <c r="B440" t="s">
        <v>156</v>
      </c>
      <c r="C440" t="s">
        <v>1545</v>
      </c>
      <c r="D440">
        <v>0.74399999999999999</v>
      </c>
      <c r="E440">
        <v>4</v>
      </c>
      <c r="F440" t="s">
        <v>774</v>
      </c>
      <c r="G440" t="s">
        <v>33</v>
      </c>
      <c r="H440" t="s">
        <v>40</v>
      </c>
      <c r="I440" t="s">
        <v>933</v>
      </c>
      <c r="J440" t="s">
        <v>1546</v>
      </c>
      <c r="L440" t="s">
        <v>2655</v>
      </c>
      <c r="N440" t="str">
        <f t="shared" si="5"/>
        <v xml:space="preserve"> 4.0946</v>
      </c>
      <c r="Q440">
        <v>4.0945999999999998</v>
      </c>
      <c r="R440">
        <v>4</v>
      </c>
    </row>
    <row r="441" spans="1:18" x14ac:dyDescent="0.2">
      <c r="A441">
        <v>412</v>
      </c>
      <c r="B441" t="s">
        <v>97</v>
      </c>
      <c r="C441" t="s">
        <v>1547</v>
      </c>
      <c r="D441">
        <v>0.60699999999999998</v>
      </c>
      <c r="E441">
        <v>4</v>
      </c>
      <c r="F441" t="s">
        <v>682</v>
      </c>
      <c r="G441" t="s">
        <v>33</v>
      </c>
      <c r="H441" t="s">
        <v>40</v>
      </c>
      <c r="I441" t="s">
        <v>861</v>
      </c>
      <c r="J441" t="s">
        <v>1548</v>
      </c>
      <c r="L441" t="s">
        <v>2656</v>
      </c>
      <c r="N441" t="str">
        <f t="shared" si="5"/>
        <v xml:space="preserve"> 5.2827</v>
      </c>
      <c r="Q441">
        <v>5.2827000000000002</v>
      </c>
      <c r="R441">
        <v>4</v>
      </c>
    </row>
    <row r="442" spans="1:18" x14ac:dyDescent="0.2">
      <c r="A442">
        <v>413</v>
      </c>
      <c r="B442" t="s">
        <v>108</v>
      </c>
      <c r="C442" t="s">
        <v>1549</v>
      </c>
      <c r="D442">
        <v>0.29299999999999998</v>
      </c>
      <c r="E442">
        <v>5</v>
      </c>
      <c r="F442" t="s">
        <v>783</v>
      </c>
      <c r="G442" t="s">
        <v>33</v>
      </c>
      <c r="H442" t="s">
        <v>40</v>
      </c>
      <c r="I442" t="s">
        <v>861</v>
      </c>
      <c r="J442" t="s">
        <v>1550</v>
      </c>
      <c r="L442" t="s">
        <v>2657</v>
      </c>
      <c r="N442" t="str">
        <f t="shared" si="5"/>
        <v xml:space="preserve"> 5.9893</v>
      </c>
      <c r="Q442">
        <v>5.9893000000000001</v>
      </c>
      <c r="R442">
        <v>5</v>
      </c>
    </row>
    <row r="443" spans="1:18" x14ac:dyDescent="0.2">
      <c r="A443">
        <v>414</v>
      </c>
      <c r="B443" t="s">
        <v>43</v>
      </c>
      <c r="C443" t="s">
        <v>1551</v>
      </c>
      <c r="D443">
        <v>1.1950000000000001</v>
      </c>
      <c r="E443">
        <v>3</v>
      </c>
      <c r="F443" t="s">
        <v>764</v>
      </c>
      <c r="G443" t="s">
        <v>33</v>
      </c>
      <c r="H443" t="s">
        <v>40</v>
      </c>
      <c r="I443" t="s">
        <v>936</v>
      </c>
      <c r="J443" t="s">
        <v>1552</v>
      </c>
      <c r="L443" t="s">
        <v>2658</v>
      </c>
      <c r="N443" t="str">
        <f t="shared" si="5"/>
        <v xml:space="preserve"> 7.4624</v>
      </c>
      <c r="Q443">
        <v>7.4623999999999997</v>
      </c>
      <c r="R443">
        <v>3</v>
      </c>
    </row>
    <row r="444" spans="1:18" x14ac:dyDescent="0.2">
      <c r="A444">
        <v>415</v>
      </c>
      <c r="B444" t="s">
        <v>108</v>
      </c>
      <c r="C444" t="s">
        <v>1553</v>
      </c>
      <c r="D444">
        <v>0.40100000000000002</v>
      </c>
      <c r="E444">
        <v>4</v>
      </c>
      <c r="F444" t="s">
        <v>690</v>
      </c>
      <c r="G444" t="s">
        <v>33</v>
      </c>
      <c r="H444" t="s">
        <v>40</v>
      </c>
      <c r="I444" t="s">
        <v>933</v>
      </c>
      <c r="J444" t="s">
        <v>1554</v>
      </c>
      <c r="L444" t="s">
        <v>2659</v>
      </c>
      <c r="N444" t="str">
        <f t="shared" si="5"/>
        <v xml:space="preserve"> 7.1254</v>
      </c>
      <c r="Q444">
        <v>7.1254</v>
      </c>
      <c r="R444">
        <v>4</v>
      </c>
    </row>
    <row r="445" spans="1:18" x14ac:dyDescent="0.2">
      <c r="A445">
        <v>416</v>
      </c>
      <c r="B445" t="s">
        <v>160</v>
      </c>
      <c r="C445" t="s">
        <v>1555</v>
      </c>
      <c r="D445">
        <v>2.9710000000000001</v>
      </c>
      <c r="E445">
        <v>1</v>
      </c>
      <c r="F445" t="s">
        <v>828</v>
      </c>
      <c r="G445" t="s">
        <v>33</v>
      </c>
      <c r="H445" t="s">
        <v>40</v>
      </c>
      <c r="I445" t="s">
        <v>933</v>
      </c>
      <c r="J445" t="s">
        <v>1556</v>
      </c>
      <c r="L445" t="s">
        <v>2660</v>
      </c>
      <c r="N445" t="str">
        <f t="shared" si="5"/>
        <v xml:space="preserve"> 5.8847</v>
      </c>
      <c r="Q445">
        <v>5.8846999999999996</v>
      </c>
      <c r="R445">
        <v>1</v>
      </c>
    </row>
    <row r="446" spans="1:18" x14ac:dyDescent="0.2">
      <c r="A446">
        <v>417</v>
      </c>
      <c r="B446" t="s">
        <v>57</v>
      </c>
      <c r="C446" t="s">
        <v>1557</v>
      </c>
      <c r="D446">
        <v>1.494</v>
      </c>
      <c r="E446">
        <v>3</v>
      </c>
      <c r="F446" t="s">
        <v>687</v>
      </c>
      <c r="G446" t="s">
        <v>64</v>
      </c>
      <c r="H446" t="s">
        <v>40</v>
      </c>
      <c r="I446" t="s">
        <v>154</v>
      </c>
      <c r="J446" t="s">
        <v>1558</v>
      </c>
      <c r="L446" t="s">
        <v>2661</v>
      </c>
      <c r="N446" t="str">
        <f t="shared" si="5"/>
        <v xml:space="preserve"> 5.6955</v>
      </c>
      <c r="Q446">
        <v>5.6955</v>
      </c>
      <c r="R446">
        <v>3</v>
      </c>
    </row>
    <row r="447" spans="1:18" x14ac:dyDescent="0.2">
      <c r="A447">
        <v>418</v>
      </c>
      <c r="B447" t="s">
        <v>127</v>
      </c>
      <c r="C447" t="s">
        <v>1559</v>
      </c>
      <c r="D447">
        <v>1.137</v>
      </c>
      <c r="E447">
        <v>3</v>
      </c>
      <c r="F447" t="s">
        <v>749</v>
      </c>
      <c r="G447" t="s">
        <v>33</v>
      </c>
      <c r="H447" t="s">
        <v>40</v>
      </c>
      <c r="I447" t="s">
        <v>162</v>
      </c>
      <c r="J447" t="s">
        <v>1560</v>
      </c>
      <c r="L447" t="s">
        <v>2662</v>
      </c>
      <c r="N447" t="str">
        <f t="shared" si="5"/>
        <v xml:space="preserve"> 5.8638</v>
      </c>
      <c r="Q447">
        <v>5.8638000000000003</v>
      </c>
      <c r="R447">
        <v>3</v>
      </c>
    </row>
    <row r="448" spans="1:18" x14ac:dyDescent="0.2">
      <c r="A448">
        <v>419</v>
      </c>
      <c r="B448" t="s">
        <v>123</v>
      </c>
      <c r="C448" t="s">
        <v>1561</v>
      </c>
      <c r="D448">
        <v>-0.01</v>
      </c>
      <c r="E448">
        <v>5</v>
      </c>
      <c r="F448" t="s">
        <v>701</v>
      </c>
      <c r="G448" t="s">
        <v>33</v>
      </c>
      <c r="H448" t="s">
        <v>40</v>
      </c>
      <c r="I448" t="s">
        <v>933</v>
      </c>
      <c r="J448" t="s">
        <v>1562</v>
      </c>
      <c r="L448" t="s">
        <v>2663</v>
      </c>
      <c r="N448" t="str">
        <f t="shared" si="5"/>
        <v xml:space="preserve"> 5.2168</v>
      </c>
      <c r="Q448">
        <v>5.2168000000000001</v>
      </c>
      <c r="R448">
        <v>5</v>
      </c>
    </row>
    <row r="449" spans="1:18" x14ac:dyDescent="0.2">
      <c r="A449">
        <v>420</v>
      </c>
      <c r="B449" t="s">
        <v>160</v>
      </c>
      <c r="C449" t="s">
        <v>1563</v>
      </c>
      <c r="D449">
        <v>2.9460000000000002</v>
      </c>
      <c r="E449">
        <v>1</v>
      </c>
      <c r="F449" t="s">
        <v>828</v>
      </c>
      <c r="G449" t="s">
        <v>64</v>
      </c>
      <c r="H449" t="s">
        <v>40</v>
      </c>
      <c r="I449" t="s">
        <v>936</v>
      </c>
      <c r="J449" t="s">
        <v>1564</v>
      </c>
      <c r="L449" t="s">
        <v>2664</v>
      </c>
      <c r="N449" t="str">
        <f t="shared" si="5"/>
        <v xml:space="preserve"> 4.2174</v>
      </c>
      <c r="Q449">
        <v>4.2173999999999996</v>
      </c>
      <c r="R449">
        <v>1</v>
      </c>
    </row>
    <row r="450" spans="1:18" x14ac:dyDescent="0.2">
      <c r="A450">
        <v>421</v>
      </c>
      <c r="B450" t="s">
        <v>43</v>
      </c>
      <c r="C450" t="s">
        <v>1565</v>
      </c>
      <c r="D450">
        <v>3.177</v>
      </c>
      <c r="E450">
        <v>1</v>
      </c>
      <c r="F450" t="s">
        <v>828</v>
      </c>
      <c r="G450" t="s">
        <v>33</v>
      </c>
      <c r="H450" t="s">
        <v>40</v>
      </c>
      <c r="I450" t="s">
        <v>861</v>
      </c>
      <c r="J450" t="s">
        <v>1566</v>
      </c>
      <c r="L450" t="s">
        <v>2665</v>
      </c>
      <c r="N450" t="str">
        <f t="shared" si="5"/>
        <v xml:space="preserve"> 4.3437</v>
      </c>
      <c r="Q450">
        <v>4.3437000000000001</v>
      </c>
      <c r="R450">
        <v>1</v>
      </c>
    </row>
    <row r="451" spans="1:18" x14ac:dyDescent="0.2">
      <c r="A451">
        <v>422</v>
      </c>
      <c r="B451" t="s">
        <v>118</v>
      </c>
      <c r="C451" t="s">
        <v>1567</v>
      </c>
      <c r="D451">
        <v>1.2430000000000001</v>
      </c>
      <c r="E451">
        <v>3</v>
      </c>
      <c r="F451" t="s">
        <v>764</v>
      </c>
      <c r="G451" t="s">
        <v>64</v>
      </c>
      <c r="H451" t="s">
        <v>40</v>
      </c>
      <c r="I451" t="s">
        <v>469</v>
      </c>
      <c r="J451" t="s">
        <v>1568</v>
      </c>
      <c r="L451" t="s">
        <v>2666</v>
      </c>
      <c r="N451" t="str">
        <f t="shared" si="5"/>
        <v xml:space="preserve"> 3.6007</v>
      </c>
      <c r="Q451">
        <v>3.6006999999999998</v>
      </c>
      <c r="R451">
        <v>3</v>
      </c>
    </row>
    <row r="452" spans="1:18" x14ac:dyDescent="0.2">
      <c r="A452">
        <v>423</v>
      </c>
      <c r="B452" t="s">
        <v>123</v>
      </c>
      <c r="C452" t="s">
        <v>1569</v>
      </c>
      <c r="D452">
        <v>0.43</v>
      </c>
      <c r="E452">
        <v>4</v>
      </c>
      <c r="F452" t="s">
        <v>690</v>
      </c>
      <c r="G452" t="s">
        <v>33</v>
      </c>
      <c r="H452" t="s">
        <v>40</v>
      </c>
      <c r="I452" t="s">
        <v>469</v>
      </c>
      <c r="J452" t="s">
        <v>1570</v>
      </c>
      <c r="L452" t="s">
        <v>2667</v>
      </c>
      <c r="N452" t="str">
        <f t="shared" si="5"/>
        <v xml:space="preserve"> 3.2393</v>
      </c>
      <c r="Q452">
        <v>3.2393000000000001</v>
      </c>
      <c r="R452">
        <v>4</v>
      </c>
    </row>
    <row r="453" spans="1:18" x14ac:dyDescent="0.2">
      <c r="A453">
        <v>424</v>
      </c>
      <c r="B453" t="s">
        <v>52</v>
      </c>
      <c r="C453" t="s">
        <v>1571</v>
      </c>
      <c r="D453">
        <v>3.1720000000000002</v>
      </c>
      <c r="E453">
        <v>1</v>
      </c>
      <c r="F453" t="s">
        <v>828</v>
      </c>
      <c r="G453" t="s">
        <v>64</v>
      </c>
      <c r="H453" t="s">
        <v>40</v>
      </c>
      <c r="I453" t="s">
        <v>861</v>
      </c>
      <c r="J453" t="s">
        <v>1572</v>
      </c>
      <c r="L453" t="s">
        <v>2668</v>
      </c>
      <c r="N453" t="str">
        <f t="shared" si="5"/>
        <v xml:space="preserve"> 3.0483</v>
      </c>
      <c r="Q453">
        <v>3.0482999999999998</v>
      </c>
      <c r="R453">
        <v>1</v>
      </c>
    </row>
    <row r="454" spans="1:18" x14ac:dyDescent="0.2">
      <c r="A454">
        <v>425</v>
      </c>
      <c r="B454" t="s">
        <v>113</v>
      </c>
      <c r="C454" t="s">
        <v>1573</v>
      </c>
      <c r="D454">
        <v>3.1629999999999998</v>
      </c>
      <c r="E454">
        <v>1</v>
      </c>
      <c r="F454" t="s">
        <v>828</v>
      </c>
      <c r="G454" t="s">
        <v>33</v>
      </c>
      <c r="H454" t="s">
        <v>40</v>
      </c>
      <c r="I454" t="s">
        <v>861</v>
      </c>
      <c r="J454" t="s">
        <v>1574</v>
      </c>
      <c r="L454" t="s">
        <v>2669</v>
      </c>
      <c r="N454" t="str">
        <f t="shared" si="5"/>
        <v xml:space="preserve"> 2.7008</v>
      </c>
      <c r="Q454">
        <v>2.7008000000000001</v>
      </c>
      <c r="R454">
        <v>1</v>
      </c>
    </row>
    <row r="455" spans="1:18" x14ac:dyDescent="0.2">
      <c r="A455">
        <v>426</v>
      </c>
      <c r="B455" t="s">
        <v>156</v>
      </c>
      <c r="C455" t="s">
        <v>1575</v>
      </c>
      <c r="D455">
        <v>1.581</v>
      </c>
      <c r="E455">
        <v>3</v>
      </c>
      <c r="F455" t="s">
        <v>687</v>
      </c>
      <c r="G455" t="s">
        <v>33</v>
      </c>
      <c r="H455" t="s">
        <v>40</v>
      </c>
      <c r="I455" t="s">
        <v>162</v>
      </c>
      <c r="J455" t="s">
        <v>1576</v>
      </c>
      <c r="L455" t="s">
        <v>2670</v>
      </c>
      <c r="N455" t="str">
        <f t="shared" ref="N455:N518" si="6">RIGHT((LEFT(L455,11)),7)</f>
        <v xml:space="preserve"> 2.2275</v>
      </c>
      <c r="Q455">
        <v>2.2275</v>
      </c>
      <c r="R455">
        <v>3</v>
      </c>
    </row>
    <row r="456" spans="1:18" x14ac:dyDescent="0.2">
      <c r="A456">
        <v>427</v>
      </c>
      <c r="B456" t="s">
        <v>113</v>
      </c>
      <c r="C456" t="s">
        <v>1577</v>
      </c>
      <c r="D456">
        <v>1.0669999999999999</v>
      </c>
      <c r="E456">
        <v>3</v>
      </c>
      <c r="F456" t="s">
        <v>749</v>
      </c>
      <c r="G456" t="s">
        <v>33</v>
      </c>
      <c r="H456" t="s">
        <v>40</v>
      </c>
      <c r="I456" t="s">
        <v>933</v>
      </c>
      <c r="J456" t="s">
        <v>1578</v>
      </c>
      <c r="L456" t="s">
        <v>2671</v>
      </c>
      <c r="N456" t="str">
        <f t="shared" si="6"/>
        <v xml:space="preserve"> 1.9748</v>
      </c>
      <c r="Q456">
        <v>1.9748000000000001</v>
      </c>
      <c r="R456">
        <v>3</v>
      </c>
    </row>
    <row r="457" spans="1:18" x14ac:dyDescent="0.2">
      <c r="A457">
        <v>428</v>
      </c>
      <c r="B457" t="s">
        <v>43</v>
      </c>
      <c r="C457" t="s">
        <v>1579</v>
      </c>
      <c r="D457">
        <v>3.1760000000000002</v>
      </c>
      <c r="E457">
        <v>1</v>
      </c>
      <c r="F457" t="s">
        <v>828</v>
      </c>
      <c r="G457" t="s">
        <v>64</v>
      </c>
      <c r="H457" t="s">
        <v>40</v>
      </c>
      <c r="I457" t="s">
        <v>936</v>
      </c>
      <c r="J457" t="s">
        <v>1580</v>
      </c>
      <c r="L457" t="s">
        <v>2672</v>
      </c>
      <c r="N457" t="str">
        <f t="shared" si="6"/>
        <v xml:space="preserve"> 2.2016</v>
      </c>
      <c r="Q457">
        <v>2.2016</v>
      </c>
      <c r="R457">
        <v>1</v>
      </c>
    </row>
    <row r="458" spans="1:18" x14ac:dyDescent="0.2">
      <c r="A458">
        <v>429</v>
      </c>
      <c r="B458" t="s">
        <v>43</v>
      </c>
      <c r="C458" t="s">
        <v>1581</v>
      </c>
      <c r="D458">
        <v>3.16</v>
      </c>
      <c r="E458">
        <v>1</v>
      </c>
      <c r="F458" t="s">
        <v>828</v>
      </c>
      <c r="G458" t="s">
        <v>33</v>
      </c>
      <c r="H458" t="s">
        <v>40</v>
      </c>
      <c r="I458" t="s">
        <v>936</v>
      </c>
      <c r="J458" t="s">
        <v>1582</v>
      </c>
      <c r="L458" t="s">
        <v>2673</v>
      </c>
      <c r="N458" t="str">
        <f t="shared" si="6"/>
        <v xml:space="preserve"> 2.3201</v>
      </c>
      <c r="Q458">
        <v>2.3201000000000001</v>
      </c>
      <c r="R458">
        <v>1</v>
      </c>
    </row>
    <row r="459" spans="1:18" x14ac:dyDescent="0.2">
      <c r="A459">
        <v>430</v>
      </c>
      <c r="B459" t="s">
        <v>127</v>
      </c>
      <c r="C459" t="s">
        <v>1583</v>
      </c>
      <c r="D459">
        <v>0.73399999999999999</v>
      </c>
      <c r="E459">
        <v>4</v>
      </c>
      <c r="F459" t="s">
        <v>774</v>
      </c>
      <c r="G459" t="s">
        <v>33</v>
      </c>
      <c r="H459" t="s">
        <v>40</v>
      </c>
      <c r="I459" t="s">
        <v>861</v>
      </c>
      <c r="J459" t="s">
        <v>1584</v>
      </c>
      <c r="L459" t="s">
        <v>2674</v>
      </c>
      <c r="N459" t="str">
        <f t="shared" si="6"/>
        <v xml:space="preserve"> 1.1300</v>
      </c>
      <c r="Q459">
        <v>1.1299999999999999</v>
      </c>
      <c r="R459">
        <v>4</v>
      </c>
    </row>
    <row r="460" spans="1:18" x14ac:dyDescent="0.2">
      <c r="A460">
        <v>431</v>
      </c>
      <c r="B460" t="s">
        <v>118</v>
      </c>
      <c r="C460" t="s">
        <v>1585</v>
      </c>
      <c r="D460">
        <v>0.35599999999999998</v>
      </c>
      <c r="E460">
        <v>4</v>
      </c>
      <c r="F460" t="s">
        <v>690</v>
      </c>
      <c r="G460" t="s">
        <v>64</v>
      </c>
      <c r="H460" t="s">
        <v>40</v>
      </c>
      <c r="I460" t="s">
        <v>469</v>
      </c>
      <c r="J460" t="s">
        <v>1586</v>
      </c>
      <c r="L460" t="s">
        <v>2675</v>
      </c>
      <c r="N460" t="str">
        <f t="shared" si="6"/>
        <v xml:space="preserve"> 1.3085</v>
      </c>
      <c r="Q460">
        <v>1.3085</v>
      </c>
      <c r="R460">
        <v>4</v>
      </c>
    </row>
    <row r="461" spans="1:18" x14ac:dyDescent="0.2">
      <c r="A461">
        <v>432</v>
      </c>
      <c r="B461" t="s">
        <v>160</v>
      </c>
      <c r="C461" t="s">
        <v>1587</v>
      </c>
      <c r="D461">
        <v>3.1859999999999999</v>
      </c>
      <c r="E461">
        <v>1</v>
      </c>
      <c r="F461" t="s">
        <v>828</v>
      </c>
      <c r="G461" t="s">
        <v>64</v>
      </c>
      <c r="H461" t="s">
        <v>40</v>
      </c>
      <c r="I461" t="s">
        <v>469</v>
      </c>
      <c r="J461" t="s">
        <v>1588</v>
      </c>
      <c r="L461" t="s">
        <v>2676</v>
      </c>
      <c r="N461" t="str">
        <f t="shared" si="6"/>
        <v xml:space="preserve"> 1.1632</v>
      </c>
      <c r="Q461">
        <v>1.1632</v>
      </c>
      <c r="R461">
        <v>1</v>
      </c>
    </row>
    <row r="462" spans="1:18" x14ac:dyDescent="0.2">
      <c r="A462">
        <v>433</v>
      </c>
      <c r="B462" t="s">
        <v>43</v>
      </c>
      <c r="C462" t="s">
        <v>1589</v>
      </c>
      <c r="D462">
        <v>3.173</v>
      </c>
      <c r="E462">
        <v>1</v>
      </c>
      <c r="F462" t="s">
        <v>828</v>
      </c>
      <c r="G462" t="s">
        <v>33</v>
      </c>
      <c r="H462" t="s">
        <v>40</v>
      </c>
      <c r="I462" t="s">
        <v>469</v>
      </c>
      <c r="J462" t="s">
        <v>1590</v>
      </c>
      <c r="L462" t="s">
        <v>2677</v>
      </c>
      <c r="N462" t="str">
        <f t="shared" si="6"/>
        <v xml:space="preserve"> 0.3162</v>
      </c>
      <c r="Q462">
        <v>0.31619999999999998</v>
      </c>
      <c r="R462">
        <v>1</v>
      </c>
    </row>
    <row r="463" spans="1:18" x14ac:dyDescent="0.2">
      <c r="A463">
        <v>434</v>
      </c>
      <c r="B463" t="s">
        <v>194</v>
      </c>
      <c r="C463" t="s">
        <v>1591</v>
      </c>
      <c r="D463">
        <v>3.3000000000000002E-2</v>
      </c>
      <c r="E463">
        <v>5</v>
      </c>
      <c r="F463" t="s">
        <v>696</v>
      </c>
      <c r="G463" t="s">
        <v>33</v>
      </c>
      <c r="H463" t="s">
        <v>40</v>
      </c>
      <c r="I463" t="s">
        <v>469</v>
      </c>
      <c r="J463" t="s">
        <v>1592</v>
      </c>
      <c r="L463" t="s">
        <v>2678</v>
      </c>
      <c r="N463" t="str">
        <f t="shared" si="6"/>
        <v xml:space="preserve"> 1.5344</v>
      </c>
      <c r="Q463">
        <v>1.5344</v>
      </c>
      <c r="R463">
        <v>5</v>
      </c>
    </row>
    <row r="464" spans="1:18" x14ac:dyDescent="0.2">
      <c r="A464">
        <v>435</v>
      </c>
      <c r="B464" t="s">
        <v>94</v>
      </c>
      <c r="C464" t="s">
        <v>1593</v>
      </c>
      <c r="D464">
        <v>1.1839999999999999</v>
      </c>
      <c r="E464">
        <v>3</v>
      </c>
      <c r="F464" t="s">
        <v>764</v>
      </c>
      <c r="G464" t="s">
        <v>64</v>
      </c>
      <c r="H464" t="s">
        <v>40</v>
      </c>
      <c r="I464" t="s">
        <v>469</v>
      </c>
      <c r="J464" t="s">
        <v>1594</v>
      </c>
      <c r="L464" t="s">
        <v>2679</v>
      </c>
      <c r="N464" t="str">
        <f t="shared" si="6"/>
        <v xml:space="preserve"> 1.6610</v>
      </c>
      <c r="Q464">
        <v>1.661</v>
      </c>
      <c r="R464">
        <v>3</v>
      </c>
    </row>
    <row r="465" spans="1:18" x14ac:dyDescent="0.2">
      <c r="A465">
        <v>436</v>
      </c>
      <c r="B465" t="s">
        <v>113</v>
      </c>
      <c r="C465" t="s">
        <v>1595</v>
      </c>
      <c r="D465">
        <v>3.181</v>
      </c>
      <c r="E465">
        <v>1</v>
      </c>
      <c r="F465" t="s">
        <v>828</v>
      </c>
      <c r="G465" t="s">
        <v>64</v>
      </c>
      <c r="H465" t="s">
        <v>40</v>
      </c>
      <c r="I465" t="s">
        <v>936</v>
      </c>
      <c r="J465" t="s">
        <v>1596</v>
      </c>
      <c r="L465" t="s">
        <v>2680</v>
      </c>
      <c r="N465" t="str">
        <f t="shared" si="6"/>
        <v xml:space="preserve"> 0.7362</v>
      </c>
      <c r="Q465">
        <v>0.73619999999999997</v>
      </c>
      <c r="R465">
        <v>1</v>
      </c>
    </row>
    <row r="466" spans="1:18" x14ac:dyDescent="0.2">
      <c r="A466">
        <v>437</v>
      </c>
      <c r="B466" t="s">
        <v>156</v>
      </c>
      <c r="C466" t="s">
        <v>1597</v>
      </c>
      <c r="D466">
        <v>2.3919999999999999</v>
      </c>
      <c r="E466">
        <v>2</v>
      </c>
      <c r="F466" t="s">
        <v>684</v>
      </c>
      <c r="G466" t="s">
        <v>33</v>
      </c>
      <c r="H466" t="s">
        <v>40</v>
      </c>
      <c r="I466" t="s">
        <v>936</v>
      </c>
      <c r="J466" t="s">
        <v>1598</v>
      </c>
      <c r="L466" t="s">
        <v>2681</v>
      </c>
      <c r="N466" t="str">
        <f t="shared" si="6"/>
        <v xml:space="preserve"> 1.3389</v>
      </c>
      <c r="Q466">
        <v>1.3389</v>
      </c>
      <c r="R466">
        <v>2</v>
      </c>
    </row>
    <row r="467" spans="1:18" x14ac:dyDescent="0.2">
      <c r="A467">
        <v>438</v>
      </c>
      <c r="B467" t="s">
        <v>233</v>
      </c>
      <c r="C467" t="s">
        <v>1599</v>
      </c>
      <c r="D467">
        <v>0.34699999999999998</v>
      </c>
      <c r="E467">
        <v>5</v>
      </c>
      <c r="F467" t="s">
        <v>744</v>
      </c>
      <c r="G467" t="s">
        <v>64</v>
      </c>
      <c r="H467" t="s">
        <v>40</v>
      </c>
      <c r="I467" t="s">
        <v>936</v>
      </c>
      <c r="J467" t="s">
        <v>1600</v>
      </c>
      <c r="L467" t="s">
        <v>2682</v>
      </c>
      <c r="N467" t="str">
        <f t="shared" si="6"/>
        <v xml:space="preserve"> 2.0589</v>
      </c>
      <c r="Q467">
        <v>2.0589</v>
      </c>
      <c r="R467">
        <v>5</v>
      </c>
    </row>
    <row r="468" spans="1:18" x14ac:dyDescent="0.2">
      <c r="A468">
        <v>439</v>
      </c>
      <c r="B468" t="s">
        <v>94</v>
      </c>
      <c r="C468" t="s">
        <v>1601</v>
      </c>
      <c r="D468">
        <v>1.198</v>
      </c>
      <c r="E468">
        <v>3</v>
      </c>
      <c r="F468" t="s">
        <v>764</v>
      </c>
      <c r="G468" t="s">
        <v>64</v>
      </c>
      <c r="H468" t="s">
        <v>40</v>
      </c>
      <c r="I468" t="s">
        <v>933</v>
      </c>
      <c r="J468" t="s">
        <v>1602</v>
      </c>
      <c r="L468" t="s">
        <v>2683</v>
      </c>
      <c r="N468" t="str">
        <f t="shared" si="6"/>
        <v xml:space="preserve"> 2.8972</v>
      </c>
      <c r="Q468">
        <v>2.8972000000000002</v>
      </c>
      <c r="R468">
        <v>3</v>
      </c>
    </row>
    <row r="469" spans="1:18" x14ac:dyDescent="0.2">
      <c r="A469">
        <v>440</v>
      </c>
      <c r="B469" t="s">
        <v>43</v>
      </c>
      <c r="C469" t="s">
        <v>1603</v>
      </c>
      <c r="D469">
        <v>1.6379999999999999</v>
      </c>
      <c r="E469">
        <v>3</v>
      </c>
      <c r="F469" t="s">
        <v>842</v>
      </c>
      <c r="G469" t="s">
        <v>33</v>
      </c>
      <c r="H469" t="s">
        <v>40</v>
      </c>
      <c r="I469" t="s">
        <v>936</v>
      </c>
      <c r="J469" t="s">
        <v>1604</v>
      </c>
      <c r="L469" t="s">
        <v>2684</v>
      </c>
      <c r="N469" t="str">
        <f t="shared" si="6"/>
        <v xml:space="preserve"> 3.0469</v>
      </c>
      <c r="Q469">
        <v>3.0468999999999999</v>
      </c>
      <c r="R469">
        <v>3</v>
      </c>
    </row>
    <row r="470" spans="1:18" x14ac:dyDescent="0.2">
      <c r="A470">
        <v>441</v>
      </c>
      <c r="B470" t="s">
        <v>101</v>
      </c>
      <c r="C470" t="s">
        <v>1605</v>
      </c>
      <c r="D470">
        <v>1.202</v>
      </c>
      <c r="E470">
        <v>3</v>
      </c>
      <c r="F470" t="s">
        <v>764</v>
      </c>
      <c r="G470" t="s">
        <v>33</v>
      </c>
      <c r="H470" t="s">
        <v>40</v>
      </c>
      <c r="I470" t="s">
        <v>162</v>
      </c>
      <c r="J470" t="s">
        <v>1606</v>
      </c>
      <c r="L470" t="s">
        <v>2685</v>
      </c>
      <c r="N470" t="str">
        <f t="shared" si="6"/>
        <v xml:space="preserve"> 3.1873</v>
      </c>
      <c r="Q470">
        <v>3.1873</v>
      </c>
      <c r="R470">
        <v>3</v>
      </c>
    </row>
    <row r="471" spans="1:18" x14ac:dyDescent="0.2">
      <c r="A471">
        <v>442</v>
      </c>
      <c r="B471" t="s">
        <v>37</v>
      </c>
      <c r="C471" t="s">
        <v>1607</v>
      </c>
      <c r="D471">
        <v>1.157</v>
      </c>
      <c r="E471">
        <v>3</v>
      </c>
      <c r="F471" t="s">
        <v>764</v>
      </c>
      <c r="G471" t="s">
        <v>33</v>
      </c>
      <c r="H471" t="s">
        <v>40</v>
      </c>
      <c r="I471" t="s">
        <v>220</v>
      </c>
      <c r="J471" t="s">
        <v>1608</v>
      </c>
      <c r="L471" t="s">
        <v>2686</v>
      </c>
      <c r="N471" t="str">
        <f t="shared" si="6"/>
        <v xml:space="preserve"> 2.4545</v>
      </c>
      <c r="Q471">
        <v>2.4544999999999999</v>
      </c>
      <c r="R471">
        <v>3</v>
      </c>
    </row>
    <row r="472" spans="1:18" x14ac:dyDescent="0.2">
      <c r="A472">
        <v>443</v>
      </c>
      <c r="B472" t="s">
        <v>57</v>
      </c>
      <c r="C472" t="s">
        <v>1609</v>
      </c>
      <c r="D472">
        <v>1.2549999999999999</v>
      </c>
      <c r="E472">
        <v>3</v>
      </c>
      <c r="F472" t="s">
        <v>764</v>
      </c>
      <c r="G472" t="s">
        <v>64</v>
      </c>
      <c r="H472" t="s">
        <v>40</v>
      </c>
      <c r="I472" t="s">
        <v>936</v>
      </c>
      <c r="J472" t="s">
        <v>1610</v>
      </c>
      <c r="L472" t="s">
        <v>2687</v>
      </c>
      <c r="N472" t="str">
        <f t="shared" si="6"/>
        <v xml:space="preserve"> 1.2315</v>
      </c>
      <c r="Q472">
        <v>1.2315</v>
      </c>
      <c r="R472">
        <v>3</v>
      </c>
    </row>
    <row r="473" spans="1:18" x14ac:dyDescent="0.2">
      <c r="A473">
        <v>444</v>
      </c>
      <c r="B473" t="s">
        <v>123</v>
      </c>
      <c r="C473" t="s">
        <v>1611</v>
      </c>
      <c r="D473">
        <v>0.746</v>
      </c>
      <c r="E473">
        <v>4</v>
      </c>
      <c r="F473" t="s">
        <v>774</v>
      </c>
      <c r="G473" t="s">
        <v>33</v>
      </c>
      <c r="H473" t="s">
        <v>40</v>
      </c>
      <c r="I473" t="s">
        <v>220</v>
      </c>
      <c r="J473" t="s">
        <v>1612</v>
      </c>
      <c r="L473" t="s">
        <v>2688</v>
      </c>
      <c r="N473" t="str">
        <f t="shared" si="6"/>
        <v xml:space="preserve"> 1.8267</v>
      </c>
      <c r="Q473">
        <v>1.8267</v>
      </c>
      <c r="R473">
        <v>4</v>
      </c>
    </row>
    <row r="474" spans="1:18" x14ac:dyDescent="0.2">
      <c r="A474">
        <v>445</v>
      </c>
      <c r="B474" t="s">
        <v>123</v>
      </c>
      <c r="C474" t="s">
        <v>1613</v>
      </c>
      <c r="D474">
        <v>1.2070000000000001</v>
      </c>
      <c r="E474">
        <v>3</v>
      </c>
      <c r="F474" t="s">
        <v>764</v>
      </c>
      <c r="G474" t="s">
        <v>33</v>
      </c>
      <c r="H474" t="s">
        <v>40</v>
      </c>
      <c r="I474" t="s">
        <v>220</v>
      </c>
      <c r="J474" t="s">
        <v>1614</v>
      </c>
      <c r="L474" t="s">
        <v>2689</v>
      </c>
      <c r="N474" t="str">
        <f t="shared" si="6"/>
        <v xml:space="preserve"> 1.5710</v>
      </c>
      <c r="Q474">
        <v>1.571</v>
      </c>
      <c r="R474">
        <v>3</v>
      </c>
    </row>
    <row r="475" spans="1:18" x14ac:dyDescent="0.2">
      <c r="A475">
        <v>446</v>
      </c>
      <c r="B475" t="s">
        <v>142</v>
      </c>
      <c r="C475" t="s">
        <v>1615</v>
      </c>
      <c r="D475">
        <v>0.58699999999999997</v>
      </c>
      <c r="E475">
        <v>4</v>
      </c>
      <c r="F475" t="s">
        <v>682</v>
      </c>
      <c r="G475" t="s">
        <v>64</v>
      </c>
      <c r="H475" t="s">
        <v>40</v>
      </c>
      <c r="I475" t="s">
        <v>220</v>
      </c>
      <c r="J475" t="s">
        <v>1616</v>
      </c>
      <c r="L475" t="s">
        <v>2690</v>
      </c>
      <c r="N475" t="str">
        <f t="shared" si="6"/>
        <v xml:space="preserve"> 1.5847</v>
      </c>
      <c r="Q475">
        <v>1.5847</v>
      </c>
      <c r="R475">
        <v>4</v>
      </c>
    </row>
    <row r="476" spans="1:18" x14ac:dyDescent="0.2">
      <c r="A476">
        <v>447</v>
      </c>
      <c r="B476" t="s">
        <v>108</v>
      </c>
      <c r="C476" t="s">
        <v>1617</v>
      </c>
      <c r="D476">
        <v>5.8000000000000003E-2</v>
      </c>
      <c r="E476">
        <v>5</v>
      </c>
      <c r="F476" t="s">
        <v>696</v>
      </c>
      <c r="G476" t="s">
        <v>64</v>
      </c>
      <c r="H476" t="s">
        <v>40</v>
      </c>
      <c r="I476" t="s">
        <v>162</v>
      </c>
      <c r="J476" t="s">
        <v>1618</v>
      </c>
      <c r="L476" t="s">
        <v>2691</v>
      </c>
      <c r="N476" t="str">
        <f t="shared" si="6"/>
        <v xml:space="preserve"> 1.0503</v>
      </c>
      <c r="Q476">
        <v>1.0503</v>
      </c>
      <c r="R476">
        <v>5</v>
      </c>
    </row>
    <row r="477" spans="1:18" x14ac:dyDescent="0.2">
      <c r="A477">
        <v>448</v>
      </c>
      <c r="B477" t="s">
        <v>113</v>
      </c>
      <c r="C477" t="s">
        <v>1619</v>
      </c>
      <c r="D477">
        <v>2.246</v>
      </c>
      <c r="E477">
        <v>2</v>
      </c>
      <c r="F477" t="s">
        <v>684</v>
      </c>
      <c r="G477" t="s">
        <v>64</v>
      </c>
      <c r="H477" t="s">
        <v>40</v>
      </c>
      <c r="I477" t="s">
        <v>162</v>
      </c>
      <c r="J477" t="s">
        <v>1620</v>
      </c>
      <c r="L477" t="s">
        <v>2692</v>
      </c>
      <c r="N477" t="str">
        <f t="shared" si="6"/>
        <v xml:space="preserve"> 1.6592</v>
      </c>
      <c r="Q477">
        <v>1.6592</v>
      </c>
      <c r="R477">
        <v>2</v>
      </c>
    </row>
    <row r="478" spans="1:18" x14ac:dyDescent="0.2">
      <c r="A478">
        <v>449</v>
      </c>
      <c r="B478" t="s">
        <v>30</v>
      </c>
      <c r="C478" t="s">
        <v>1621</v>
      </c>
      <c r="D478">
        <v>1.0389999999999999</v>
      </c>
      <c r="E478">
        <v>4</v>
      </c>
      <c r="F478" t="s">
        <v>749</v>
      </c>
      <c r="G478" t="s">
        <v>33</v>
      </c>
      <c r="H478" t="s">
        <v>40</v>
      </c>
      <c r="I478" t="s">
        <v>162</v>
      </c>
      <c r="J478" t="s">
        <v>1622</v>
      </c>
      <c r="L478" t="s">
        <v>2693</v>
      </c>
      <c r="N478" t="str">
        <f t="shared" si="6"/>
        <v xml:space="preserve"> 1.3515</v>
      </c>
      <c r="Q478">
        <v>1.3514999999999999</v>
      </c>
      <c r="R478">
        <v>4</v>
      </c>
    </row>
    <row r="479" spans="1:18" x14ac:dyDescent="0.2">
      <c r="A479">
        <v>450</v>
      </c>
      <c r="B479" t="s">
        <v>30</v>
      </c>
      <c r="C479" t="s">
        <v>1623</v>
      </c>
      <c r="D479">
        <v>-0.11899999999999999</v>
      </c>
      <c r="E479">
        <v>6</v>
      </c>
      <c r="F479" t="s">
        <v>1030</v>
      </c>
      <c r="G479" t="s">
        <v>64</v>
      </c>
      <c r="H479" t="s">
        <v>40</v>
      </c>
      <c r="I479" t="s">
        <v>933</v>
      </c>
      <c r="J479" t="s">
        <v>1624</v>
      </c>
      <c r="L479" t="s">
        <v>2694</v>
      </c>
      <c r="N479" t="str">
        <f t="shared" si="6"/>
        <v xml:space="preserve"> 1.0216</v>
      </c>
      <c r="Q479">
        <v>1.0216000000000001</v>
      </c>
      <c r="R479">
        <v>6</v>
      </c>
    </row>
    <row r="480" spans="1:18" x14ac:dyDescent="0.2">
      <c r="A480">
        <v>451</v>
      </c>
      <c r="B480" t="s">
        <v>30</v>
      </c>
      <c r="C480" t="s">
        <v>1625</v>
      </c>
      <c r="D480">
        <v>0.47099999999999997</v>
      </c>
      <c r="E480">
        <v>4</v>
      </c>
      <c r="F480" t="s">
        <v>690</v>
      </c>
      <c r="G480" t="s">
        <v>64</v>
      </c>
      <c r="H480" t="s">
        <v>40</v>
      </c>
      <c r="I480" t="s">
        <v>933</v>
      </c>
      <c r="J480" t="s">
        <v>1626</v>
      </c>
      <c r="L480" t="s">
        <v>2695</v>
      </c>
      <c r="N480" t="str">
        <f t="shared" si="6"/>
        <v xml:space="preserve"> 1.1328</v>
      </c>
      <c r="Q480">
        <v>1.1328</v>
      </c>
      <c r="R480">
        <v>4</v>
      </c>
    </row>
    <row r="481" spans="1:18" x14ac:dyDescent="0.2">
      <c r="A481">
        <v>452</v>
      </c>
      <c r="B481" t="s">
        <v>43</v>
      </c>
      <c r="C481" t="s">
        <v>1627</v>
      </c>
      <c r="D481">
        <v>1.0029999999999999</v>
      </c>
      <c r="E481">
        <v>4</v>
      </c>
      <c r="F481" t="s">
        <v>749</v>
      </c>
      <c r="G481" t="s">
        <v>64</v>
      </c>
      <c r="H481" t="s">
        <v>40</v>
      </c>
      <c r="I481" t="s">
        <v>162</v>
      </c>
      <c r="J481" t="s">
        <v>1628</v>
      </c>
      <c r="L481" t="s">
        <v>2696</v>
      </c>
      <c r="N481" t="str">
        <f t="shared" si="6"/>
        <v xml:space="preserve"> 1.6074</v>
      </c>
      <c r="Q481">
        <v>1.6073999999999999</v>
      </c>
      <c r="R481">
        <v>4</v>
      </c>
    </row>
    <row r="482" spans="1:18" x14ac:dyDescent="0.2">
      <c r="A482">
        <v>453</v>
      </c>
      <c r="B482" t="s">
        <v>118</v>
      </c>
      <c r="C482" t="s">
        <v>1629</v>
      </c>
      <c r="D482">
        <v>-0.14000000000000001</v>
      </c>
      <c r="E482">
        <v>6</v>
      </c>
      <c r="F482" t="s">
        <v>1030</v>
      </c>
      <c r="G482" t="s">
        <v>64</v>
      </c>
      <c r="H482" t="s">
        <v>40</v>
      </c>
      <c r="I482" t="s">
        <v>162</v>
      </c>
      <c r="J482" t="s">
        <v>1630</v>
      </c>
      <c r="L482" t="s">
        <v>2697</v>
      </c>
      <c r="N482" t="str">
        <f t="shared" si="6"/>
        <v xml:space="preserve"> 1.0891</v>
      </c>
      <c r="Q482">
        <v>1.0891</v>
      </c>
      <c r="R482">
        <v>6</v>
      </c>
    </row>
    <row r="483" spans="1:18" x14ac:dyDescent="0.2">
      <c r="A483">
        <v>454</v>
      </c>
      <c r="B483" t="s">
        <v>160</v>
      </c>
      <c r="C483" t="s">
        <v>1631</v>
      </c>
      <c r="D483">
        <v>0.02</v>
      </c>
      <c r="E483">
        <v>5</v>
      </c>
      <c r="F483" t="s">
        <v>705</v>
      </c>
      <c r="G483" t="s">
        <v>64</v>
      </c>
      <c r="H483" t="s">
        <v>40</v>
      </c>
      <c r="I483" t="s">
        <v>476</v>
      </c>
      <c r="J483" t="s">
        <v>1632</v>
      </c>
      <c r="L483" t="s">
        <v>2698</v>
      </c>
      <c r="N483" t="str">
        <f t="shared" si="6"/>
        <v xml:space="preserve"> 0.8391</v>
      </c>
      <c r="Q483">
        <v>0.83909999999999996</v>
      </c>
      <c r="R483">
        <v>5</v>
      </c>
    </row>
    <row r="484" spans="1:18" x14ac:dyDescent="0.2">
      <c r="A484">
        <v>455</v>
      </c>
      <c r="B484" t="s">
        <v>94</v>
      </c>
      <c r="C484" t="s">
        <v>1633</v>
      </c>
      <c r="D484">
        <v>0.63300000000000001</v>
      </c>
      <c r="E484">
        <v>4</v>
      </c>
      <c r="F484" t="s">
        <v>682</v>
      </c>
      <c r="G484" t="s">
        <v>64</v>
      </c>
      <c r="H484" t="s">
        <v>40</v>
      </c>
      <c r="I484" t="s">
        <v>162</v>
      </c>
      <c r="J484" t="s">
        <v>1634</v>
      </c>
      <c r="L484" t="s">
        <v>2699</v>
      </c>
      <c r="N484" t="str">
        <f t="shared" si="6"/>
        <v xml:space="preserve"> 1.5525</v>
      </c>
      <c r="Q484">
        <v>1.5525</v>
      </c>
      <c r="R484">
        <v>4</v>
      </c>
    </row>
    <row r="485" spans="1:18" x14ac:dyDescent="0.2">
      <c r="A485">
        <v>456</v>
      </c>
      <c r="B485" t="s">
        <v>108</v>
      </c>
      <c r="C485" t="s">
        <v>1635</v>
      </c>
      <c r="D485">
        <v>-6.9000000000000006E-2</v>
      </c>
      <c r="E485">
        <v>5</v>
      </c>
      <c r="F485" t="s">
        <v>701</v>
      </c>
      <c r="G485" t="s">
        <v>64</v>
      </c>
      <c r="H485" t="s">
        <v>40</v>
      </c>
      <c r="I485" t="s">
        <v>933</v>
      </c>
      <c r="J485" t="s">
        <v>1636</v>
      </c>
      <c r="L485" t="s">
        <v>2700</v>
      </c>
      <c r="N485" t="str">
        <f t="shared" si="6"/>
        <v xml:space="preserve"> 1.5141</v>
      </c>
      <c r="Q485">
        <v>1.5141</v>
      </c>
      <c r="R485">
        <v>5</v>
      </c>
    </row>
    <row r="486" spans="1:18" x14ac:dyDescent="0.2">
      <c r="A486">
        <v>457</v>
      </c>
      <c r="B486" t="s">
        <v>30</v>
      </c>
      <c r="C486" t="s">
        <v>1637</v>
      </c>
      <c r="D486">
        <v>0.33900000000000002</v>
      </c>
      <c r="E486">
        <v>5</v>
      </c>
      <c r="F486" t="s">
        <v>744</v>
      </c>
      <c r="G486" t="s">
        <v>64</v>
      </c>
      <c r="H486" t="s">
        <v>40</v>
      </c>
      <c r="I486" t="s">
        <v>933</v>
      </c>
      <c r="J486" t="s">
        <v>1638</v>
      </c>
      <c r="L486" t="s">
        <v>2701</v>
      </c>
      <c r="N486" t="str">
        <f t="shared" si="6"/>
        <v xml:space="preserve"> 1.4774</v>
      </c>
      <c r="Q486">
        <v>1.4774</v>
      </c>
      <c r="R486">
        <v>5</v>
      </c>
    </row>
    <row r="487" spans="1:18" x14ac:dyDescent="0.2">
      <c r="A487">
        <v>458</v>
      </c>
      <c r="B487" t="s">
        <v>156</v>
      </c>
      <c r="C487" t="s">
        <v>1639</v>
      </c>
      <c r="D487">
        <v>-0.42499999999999999</v>
      </c>
      <c r="E487">
        <v>7</v>
      </c>
      <c r="F487" t="s">
        <v>876</v>
      </c>
      <c r="G487" t="s">
        <v>64</v>
      </c>
      <c r="H487" t="s">
        <v>40</v>
      </c>
      <c r="I487" t="s">
        <v>936</v>
      </c>
      <c r="J487" t="s">
        <v>1640</v>
      </c>
      <c r="L487" t="s">
        <v>2702</v>
      </c>
      <c r="N487" t="str">
        <f t="shared" si="6"/>
        <v xml:space="preserve"> 2.1025</v>
      </c>
      <c r="Q487">
        <v>2.1025</v>
      </c>
      <c r="R487">
        <v>7</v>
      </c>
    </row>
    <row r="488" spans="1:18" x14ac:dyDescent="0.2">
      <c r="A488">
        <v>459</v>
      </c>
      <c r="B488" t="s">
        <v>94</v>
      </c>
      <c r="C488" t="s">
        <v>1641</v>
      </c>
      <c r="D488">
        <v>0.35799999999999998</v>
      </c>
      <c r="E488">
        <v>4</v>
      </c>
      <c r="F488" t="s">
        <v>744</v>
      </c>
      <c r="G488" t="s">
        <v>64</v>
      </c>
      <c r="H488" t="s">
        <v>40</v>
      </c>
      <c r="I488" t="s">
        <v>933</v>
      </c>
      <c r="J488" t="s">
        <v>1642</v>
      </c>
      <c r="L488" t="s">
        <v>2703</v>
      </c>
      <c r="N488" t="str">
        <f t="shared" si="6"/>
        <v xml:space="preserve"> 2.6000</v>
      </c>
      <c r="Q488">
        <v>2.6</v>
      </c>
      <c r="R488">
        <v>4</v>
      </c>
    </row>
    <row r="489" spans="1:18" x14ac:dyDescent="0.2">
      <c r="A489">
        <v>460</v>
      </c>
      <c r="B489" t="s">
        <v>156</v>
      </c>
      <c r="C489" t="s">
        <v>1643</v>
      </c>
      <c r="D489">
        <v>-0.55500000000000005</v>
      </c>
      <c r="E489">
        <v>8</v>
      </c>
      <c r="F489" t="s">
        <v>924</v>
      </c>
      <c r="G489" t="s">
        <v>64</v>
      </c>
      <c r="H489" t="s">
        <v>40</v>
      </c>
      <c r="I489" t="s">
        <v>207</v>
      </c>
      <c r="J489" t="s">
        <v>1644</v>
      </c>
      <c r="L489" t="s">
        <v>2704</v>
      </c>
      <c r="N489" t="str">
        <f t="shared" si="6"/>
        <v xml:space="preserve"> 2.6495</v>
      </c>
      <c r="Q489">
        <v>2.6495000000000002</v>
      </c>
      <c r="R489">
        <v>8</v>
      </c>
    </row>
    <row r="490" spans="1:18" x14ac:dyDescent="0.2">
      <c r="A490">
        <v>461</v>
      </c>
      <c r="B490" t="s">
        <v>57</v>
      </c>
      <c r="C490" t="s">
        <v>1645</v>
      </c>
      <c r="D490">
        <v>-0.42499999999999999</v>
      </c>
      <c r="E490">
        <v>7</v>
      </c>
      <c r="F490" t="s">
        <v>740</v>
      </c>
      <c r="G490" t="s">
        <v>64</v>
      </c>
      <c r="H490" t="s">
        <v>40</v>
      </c>
      <c r="I490" t="s">
        <v>228</v>
      </c>
      <c r="J490" t="s">
        <v>1646</v>
      </c>
      <c r="L490" t="s">
        <v>2705</v>
      </c>
      <c r="N490" t="str">
        <f t="shared" si="6"/>
        <v xml:space="preserve"> 2.8334</v>
      </c>
      <c r="Q490">
        <v>2.8334000000000001</v>
      </c>
      <c r="R490">
        <v>7</v>
      </c>
    </row>
    <row r="491" spans="1:18" x14ac:dyDescent="0.2">
      <c r="A491">
        <v>462</v>
      </c>
      <c r="B491" t="s">
        <v>57</v>
      </c>
      <c r="C491" t="s">
        <v>1647</v>
      </c>
      <c r="D491">
        <v>-0.71499999999999997</v>
      </c>
      <c r="E491">
        <v>8</v>
      </c>
      <c r="F491" t="s">
        <v>1062</v>
      </c>
      <c r="G491" t="s">
        <v>64</v>
      </c>
      <c r="H491" t="s">
        <v>40</v>
      </c>
      <c r="I491" t="s">
        <v>228</v>
      </c>
      <c r="J491" t="s">
        <v>1648</v>
      </c>
      <c r="L491" t="s">
        <v>2706</v>
      </c>
      <c r="N491" t="str">
        <f t="shared" si="6"/>
        <v xml:space="preserve"> 3.1268</v>
      </c>
      <c r="Q491">
        <v>3.1267999999999998</v>
      </c>
      <c r="R491">
        <v>8</v>
      </c>
    </row>
    <row r="492" spans="1:18" x14ac:dyDescent="0.2">
      <c r="A492">
        <v>463</v>
      </c>
      <c r="B492" t="s">
        <v>43</v>
      </c>
      <c r="C492" t="s">
        <v>1649</v>
      </c>
      <c r="D492">
        <v>-0.89800000000000002</v>
      </c>
      <c r="E492">
        <v>9</v>
      </c>
      <c r="F492" t="s">
        <v>675</v>
      </c>
      <c r="G492" t="s">
        <v>64</v>
      </c>
      <c r="H492" t="s">
        <v>65</v>
      </c>
      <c r="I492" t="s">
        <v>228</v>
      </c>
      <c r="J492" t="s">
        <v>894</v>
      </c>
      <c r="L492" t="s">
        <v>2707</v>
      </c>
      <c r="N492" t="str">
        <f t="shared" si="6"/>
        <v xml:space="preserve"> 3.7420</v>
      </c>
      <c r="Q492">
        <v>3.742</v>
      </c>
      <c r="R492">
        <v>9</v>
      </c>
    </row>
    <row r="493" spans="1:18" x14ac:dyDescent="0.2">
      <c r="A493">
        <v>464</v>
      </c>
      <c r="B493" t="s">
        <v>113</v>
      </c>
      <c r="C493" t="s">
        <v>1650</v>
      </c>
      <c r="D493">
        <v>-0.9</v>
      </c>
      <c r="E493">
        <v>9</v>
      </c>
      <c r="F493" t="s">
        <v>675</v>
      </c>
      <c r="G493" t="s">
        <v>64</v>
      </c>
      <c r="H493" t="s">
        <v>65</v>
      </c>
      <c r="I493" t="s">
        <v>228</v>
      </c>
      <c r="J493" t="s">
        <v>981</v>
      </c>
      <c r="L493" t="s">
        <v>2708</v>
      </c>
      <c r="N493" t="str">
        <f t="shared" si="6"/>
        <v xml:space="preserve"> 3.8461</v>
      </c>
      <c r="Q493">
        <v>3.8460999999999999</v>
      </c>
      <c r="R493">
        <v>9</v>
      </c>
    </row>
    <row r="494" spans="1:18" x14ac:dyDescent="0.2">
      <c r="A494">
        <v>465</v>
      </c>
      <c r="B494" t="s">
        <v>108</v>
      </c>
      <c r="C494" t="s">
        <v>1651</v>
      </c>
      <c r="D494">
        <v>-0.52500000000000002</v>
      </c>
      <c r="E494">
        <v>8</v>
      </c>
      <c r="F494" t="s">
        <v>882</v>
      </c>
      <c r="G494" t="s">
        <v>64</v>
      </c>
      <c r="H494" t="s">
        <v>40</v>
      </c>
      <c r="I494" t="s">
        <v>228</v>
      </c>
      <c r="J494" t="s">
        <v>1652</v>
      </c>
      <c r="L494" t="s">
        <v>2709</v>
      </c>
      <c r="N494" t="str">
        <f t="shared" si="6"/>
        <v xml:space="preserve"> 4.3075</v>
      </c>
      <c r="Q494">
        <v>4.3075000000000001</v>
      </c>
      <c r="R494">
        <v>8</v>
      </c>
    </row>
    <row r="495" spans="1:18" x14ac:dyDescent="0.2">
      <c r="A495">
        <v>466</v>
      </c>
      <c r="B495" t="s">
        <v>118</v>
      </c>
      <c r="C495" t="s">
        <v>1653</v>
      </c>
      <c r="D495">
        <v>-0.78</v>
      </c>
      <c r="E495">
        <v>9</v>
      </c>
      <c r="F495" t="s">
        <v>1288</v>
      </c>
      <c r="G495" t="s">
        <v>64</v>
      </c>
      <c r="H495" t="s">
        <v>65</v>
      </c>
      <c r="I495" t="s">
        <v>228</v>
      </c>
      <c r="J495" t="s">
        <v>1654</v>
      </c>
      <c r="L495" t="s">
        <v>2710</v>
      </c>
      <c r="N495" t="str">
        <f t="shared" si="6"/>
        <v xml:space="preserve"> 4.3298</v>
      </c>
      <c r="Q495">
        <v>4.3297999999999996</v>
      </c>
      <c r="R495">
        <v>9</v>
      </c>
    </row>
    <row r="496" spans="1:18" x14ac:dyDescent="0.2">
      <c r="A496">
        <v>467</v>
      </c>
      <c r="B496" t="s">
        <v>160</v>
      </c>
      <c r="C496" t="s">
        <v>1655</v>
      </c>
      <c r="D496">
        <v>-0.84899999999999998</v>
      </c>
      <c r="E496">
        <v>9</v>
      </c>
      <c r="F496" t="s">
        <v>1071</v>
      </c>
      <c r="G496" t="s">
        <v>64</v>
      </c>
      <c r="H496" t="s">
        <v>65</v>
      </c>
      <c r="I496" t="s">
        <v>228</v>
      </c>
      <c r="J496" t="s">
        <v>400</v>
      </c>
      <c r="L496" t="s">
        <v>2711</v>
      </c>
      <c r="N496" t="str">
        <f t="shared" si="6"/>
        <v xml:space="preserve"> 4.9038</v>
      </c>
      <c r="Q496">
        <v>4.9038000000000004</v>
      </c>
      <c r="R496">
        <v>9</v>
      </c>
    </row>
    <row r="497" spans="1:18" x14ac:dyDescent="0.2">
      <c r="A497">
        <v>468</v>
      </c>
      <c r="B497" t="s">
        <v>94</v>
      </c>
      <c r="C497" t="s">
        <v>1656</v>
      </c>
      <c r="D497">
        <v>-0.89800000000000002</v>
      </c>
      <c r="E497">
        <v>9</v>
      </c>
      <c r="F497" t="s">
        <v>675</v>
      </c>
      <c r="G497" t="s">
        <v>64</v>
      </c>
      <c r="H497" t="s">
        <v>65</v>
      </c>
      <c r="I497" t="s">
        <v>228</v>
      </c>
      <c r="J497" t="s">
        <v>383</v>
      </c>
      <c r="L497" t="s">
        <v>2712</v>
      </c>
      <c r="N497" t="str">
        <f t="shared" si="6"/>
        <v xml:space="preserve"> 5.0224</v>
      </c>
      <c r="Q497">
        <v>5.0224000000000002</v>
      </c>
      <c r="R497">
        <v>9</v>
      </c>
    </row>
    <row r="498" spans="1:18" x14ac:dyDescent="0.2">
      <c r="A498">
        <v>469</v>
      </c>
      <c r="B498" t="s">
        <v>101</v>
      </c>
      <c r="C498" t="s">
        <v>1657</v>
      </c>
      <c r="D498">
        <v>-0.82599999999999996</v>
      </c>
      <c r="E498">
        <v>9</v>
      </c>
      <c r="F498" t="s">
        <v>927</v>
      </c>
      <c r="G498" t="s">
        <v>33</v>
      </c>
      <c r="H498" t="s">
        <v>34</v>
      </c>
      <c r="I498" t="s">
        <v>228</v>
      </c>
      <c r="J498" t="s">
        <v>928</v>
      </c>
      <c r="L498" t="s">
        <v>2713</v>
      </c>
      <c r="N498" t="str">
        <f t="shared" si="6"/>
        <v xml:space="preserve"> 5.3824</v>
      </c>
      <c r="Q498">
        <v>5.3823999999999996</v>
      </c>
      <c r="R498">
        <v>9</v>
      </c>
    </row>
    <row r="499" spans="1:18" x14ac:dyDescent="0.2">
      <c r="A499">
        <v>470</v>
      </c>
      <c r="B499" t="s">
        <v>97</v>
      </c>
      <c r="C499" t="s">
        <v>1658</v>
      </c>
      <c r="D499">
        <v>-0.745</v>
      </c>
      <c r="E499">
        <v>9</v>
      </c>
      <c r="F499" t="s">
        <v>1038</v>
      </c>
      <c r="G499" t="s">
        <v>33</v>
      </c>
      <c r="H499" t="s">
        <v>34</v>
      </c>
      <c r="I499" t="s">
        <v>228</v>
      </c>
      <c r="J499" t="s">
        <v>1659</v>
      </c>
      <c r="L499" t="s">
        <v>2714</v>
      </c>
      <c r="N499" t="str">
        <f t="shared" si="6"/>
        <v xml:space="preserve"> 5.4212</v>
      </c>
      <c r="Q499">
        <v>5.4211999999999998</v>
      </c>
      <c r="R499">
        <v>9</v>
      </c>
    </row>
    <row r="500" spans="1:18" x14ac:dyDescent="0.2">
      <c r="A500">
        <v>471</v>
      </c>
      <c r="B500" t="s">
        <v>30</v>
      </c>
      <c r="C500" t="s">
        <v>1660</v>
      </c>
      <c r="D500">
        <v>-0.72299999999999998</v>
      </c>
      <c r="E500">
        <v>9</v>
      </c>
      <c r="F500" t="s">
        <v>1160</v>
      </c>
      <c r="G500" t="s">
        <v>64</v>
      </c>
      <c r="H500" t="s">
        <v>65</v>
      </c>
      <c r="I500" t="s">
        <v>228</v>
      </c>
      <c r="J500" t="s">
        <v>1661</v>
      </c>
      <c r="L500" t="s">
        <v>2715</v>
      </c>
      <c r="N500" t="str">
        <f t="shared" si="6"/>
        <v xml:space="preserve"> 4.6784</v>
      </c>
      <c r="Q500">
        <v>4.6783999999999999</v>
      </c>
      <c r="R500">
        <v>9</v>
      </c>
    </row>
    <row r="501" spans="1:18" x14ac:dyDescent="0.2">
      <c r="A501">
        <v>472</v>
      </c>
      <c r="B501" t="s">
        <v>142</v>
      </c>
      <c r="C501" t="s">
        <v>1662</v>
      </c>
      <c r="D501">
        <v>-0.92400000000000004</v>
      </c>
      <c r="E501">
        <v>9</v>
      </c>
      <c r="F501" t="s">
        <v>888</v>
      </c>
      <c r="G501" t="s">
        <v>64</v>
      </c>
      <c r="H501" t="s">
        <v>65</v>
      </c>
      <c r="I501" t="s">
        <v>228</v>
      </c>
      <c r="J501" t="s">
        <v>1361</v>
      </c>
      <c r="L501" t="s">
        <v>2716</v>
      </c>
      <c r="N501" t="str">
        <f t="shared" si="6"/>
        <v xml:space="preserve"> 5.0195</v>
      </c>
      <c r="Q501">
        <v>5.0194999999999999</v>
      </c>
      <c r="R501">
        <v>9</v>
      </c>
    </row>
    <row r="502" spans="1:18" x14ac:dyDescent="0.2">
      <c r="A502">
        <v>473</v>
      </c>
      <c r="B502" t="s">
        <v>123</v>
      </c>
      <c r="C502" t="s">
        <v>1663</v>
      </c>
      <c r="D502">
        <v>-0.46200000000000002</v>
      </c>
      <c r="E502">
        <v>7</v>
      </c>
      <c r="F502" t="s">
        <v>1187</v>
      </c>
      <c r="G502" t="s">
        <v>33</v>
      </c>
      <c r="H502" t="s">
        <v>40</v>
      </c>
      <c r="I502" t="s">
        <v>228</v>
      </c>
      <c r="J502" t="s">
        <v>1664</v>
      </c>
      <c r="L502" t="s">
        <v>2717</v>
      </c>
      <c r="N502" t="str">
        <f t="shared" si="6"/>
        <v xml:space="preserve"> 5.4907</v>
      </c>
      <c r="Q502">
        <v>5.4907000000000004</v>
      </c>
      <c r="R502">
        <v>7</v>
      </c>
    </row>
    <row r="503" spans="1:18" x14ac:dyDescent="0.2">
      <c r="A503">
        <v>474</v>
      </c>
      <c r="B503" t="s">
        <v>135</v>
      </c>
      <c r="C503" t="s">
        <v>1665</v>
      </c>
      <c r="D503">
        <v>3.4000000000000002E-2</v>
      </c>
      <c r="E503">
        <v>5</v>
      </c>
      <c r="F503" t="s">
        <v>696</v>
      </c>
      <c r="G503" t="s">
        <v>33</v>
      </c>
      <c r="H503" t="s">
        <v>40</v>
      </c>
      <c r="I503" t="s">
        <v>228</v>
      </c>
      <c r="J503" t="s">
        <v>1666</v>
      </c>
      <c r="L503" t="s">
        <v>2718</v>
      </c>
      <c r="N503" t="str">
        <f t="shared" si="6"/>
        <v xml:space="preserve"> 5.3458</v>
      </c>
      <c r="Q503">
        <v>5.3457999999999997</v>
      </c>
      <c r="R503">
        <v>5</v>
      </c>
    </row>
    <row r="504" spans="1:18" x14ac:dyDescent="0.2">
      <c r="A504">
        <v>475</v>
      </c>
      <c r="B504" t="s">
        <v>113</v>
      </c>
      <c r="C504" t="s">
        <v>1667</v>
      </c>
      <c r="D504">
        <v>-7.1999999999999995E-2</v>
      </c>
      <c r="E504">
        <v>5</v>
      </c>
      <c r="F504" t="s">
        <v>791</v>
      </c>
      <c r="G504" t="s">
        <v>64</v>
      </c>
      <c r="H504" t="s">
        <v>40</v>
      </c>
      <c r="I504" t="s">
        <v>228</v>
      </c>
      <c r="J504" t="s">
        <v>1668</v>
      </c>
      <c r="L504" t="s">
        <v>2719</v>
      </c>
      <c r="N504" t="str">
        <f t="shared" si="6"/>
        <v xml:space="preserve"> 5.0929</v>
      </c>
      <c r="Q504">
        <v>5.0929000000000002</v>
      </c>
      <c r="R504">
        <v>5</v>
      </c>
    </row>
    <row r="505" spans="1:18" x14ac:dyDescent="0.2">
      <c r="A505">
        <v>476</v>
      </c>
      <c r="B505" t="s">
        <v>127</v>
      </c>
      <c r="C505" t="s">
        <v>1669</v>
      </c>
      <c r="D505">
        <v>-0.86199999999999999</v>
      </c>
      <c r="E505">
        <v>9</v>
      </c>
      <c r="F505" t="s">
        <v>1059</v>
      </c>
      <c r="G505" t="s">
        <v>33</v>
      </c>
      <c r="H505" t="s">
        <v>34</v>
      </c>
      <c r="I505" t="s">
        <v>228</v>
      </c>
      <c r="J505" t="s">
        <v>1670</v>
      </c>
      <c r="L505" t="s">
        <v>2720</v>
      </c>
      <c r="N505" t="str">
        <f t="shared" si="6"/>
        <v xml:space="preserve"> 5.3713</v>
      </c>
      <c r="Q505">
        <v>5.3712999999999997</v>
      </c>
      <c r="R505">
        <v>9</v>
      </c>
    </row>
    <row r="506" spans="1:18" x14ac:dyDescent="0.2">
      <c r="A506">
        <v>477</v>
      </c>
      <c r="B506" t="s">
        <v>52</v>
      </c>
      <c r="C506" t="s">
        <v>1671</v>
      </c>
      <c r="D506">
        <v>1.3069999999999999</v>
      </c>
      <c r="E506">
        <v>3</v>
      </c>
      <c r="F506" t="s">
        <v>687</v>
      </c>
      <c r="G506" t="s">
        <v>33</v>
      </c>
      <c r="H506" t="s">
        <v>40</v>
      </c>
      <c r="I506" t="s">
        <v>228</v>
      </c>
      <c r="J506" t="s">
        <v>1672</v>
      </c>
      <c r="L506" t="s">
        <v>2721</v>
      </c>
      <c r="N506" t="str">
        <f t="shared" si="6"/>
        <v xml:space="preserve"> 5.3433</v>
      </c>
      <c r="Q506">
        <v>5.3433000000000002</v>
      </c>
      <c r="R506">
        <v>3</v>
      </c>
    </row>
    <row r="507" spans="1:18" x14ac:dyDescent="0.2">
      <c r="A507">
        <v>478</v>
      </c>
      <c r="B507" t="s">
        <v>118</v>
      </c>
      <c r="C507" t="s">
        <v>1673</v>
      </c>
      <c r="D507">
        <v>0.14599999999999999</v>
      </c>
      <c r="E507">
        <v>5</v>
      </c>
      <c r="F507" t="s">
        <v>711</v>
      </c>
      <c r="G507" t="s">
        <v>33</v>
      </c>
      <c r="H507" t="s">
        <v>40</v>
      </c>
      <c r="I507" t="s">
        <v>936</v>
      </c>
      <c r="J507" t="s">
        <v>1674</v>
      </c>
      <c r="L507" t="s">
        <v>2722</v>
      </c>
      <c r="N507" t="str">
        <f t="shared" si="6"/>
        <v xml:space="preserve"> 4.8384</v>
      </c>
      <c r="Q507">
        <v>4.8384</v>
      </c>
      <c r="R507">
        <v>5</v>
      </c>
    </row>
    <row r="508" spans="1:18" x14ac:dyDescent="0.2">
      <c r="A508">
        <v>479</v>
      </c>
      <c r="B508" t="s">
        <v>97</v>
      </c>
      <c r="C508" t="s">
        <v>1675</v>
      </c>
      <c r="D508">
        <v>0.81200000000000006</v>
      </c>
      <c r="E508">
        <v>4</v>
      </c>
      <c r="F508" t="s">
        <v>759</v>
      </c>
      <c r="G508" t="s">
        <v>33</v>
      </c>
      <c r="H508" t="s">
        <v>40</v>
      </c>
      <c r="I508" t="s">
        <v>936</v>
      </c>
      <c r="J508" t="s">
        <v>1676</v>
      </c>
      <c r="L508" t="s">
        <v>2723</v>
      </c>
      <c r="N508" t="str">
        <f t="shared" si="6"/>
        <v xml:space="preserve"> 4.9319</v>
      </c>
      <c r="Q508">
        <v>4.9318999999999997</v>
      </c>
      <c r="R508">
        <v>4</v>
      </c>
    </row>
    <row r="509" spans="1:18" x14ac:dyDescent="0.2">
      <c r="A509">
        <v>480</v>
      </c>
      <c r="B509" t="s">
        <v>57</v>
      </c>
      <c r="C509" t="s">
        <v>1677</v>
      </c>
      <c r="D509">
        <v>-0.61799999999999999</v>
      </c>
      <c r="E509">
        <v>8</v>
      </c>
      <c r="F509" t="s">
        <v>906</v>
      </c>
      <c r="G509" t="s">
        <v>33</v>
      </c>
      <c r="H509" t="s">
        <v>34</v>
      </c>
      <c r="I509" t="s">
        <v>228</v>
      </c>
      <c r="J509" t="s">
        <v>1678</v>
      </c>
      <c r="L509" t="s">
        <v>2724</v>
      </c>
      <c r="N509" t="str">
        <f t="shared" si="6"/>
        <v xml:space="preserve"> 5.0504</v>
      </c>
      <c r="Q509">
        <v>5.0503999999999998</v>
      </c>
      <c r="R509">
        <v>8</v>
      </c>
    </row>
    <row r="510" spans="1:18" x14ac:dyDescent="0.2">
      <c r="A510">
        <v>481</v>
      </c>
      <c r="B510" t="s">
        <v>52</v>
      </c>
      <c r="C510" t="s">
        <v>1679</v>
      </c>
      <c r="D510">
        <v>1.0389999999999999</v>
      </c>
      <c r="E510">
        <v>4</v>
      </c>
      <c r="F510" t="s">
        <v>749</v>
      </c>
      <c r="G510" t="s">
        <v>33</v>
      </c>
      <c r="H510" t="s">
        <v>40</v>
      </c>
      <c r="I510" t="s">
        <v>228</v>
      </c>
      <c r="J510" t="s">
        <v>1680</v>
      </c>
      <c r="L510" t="s">
        <v>2725</v>
      </c>
      <c r="N510" t="str">
        <f t="shared" si="6"/>
        <v xml:space="preserve"> 5.4166</v>
      </c>
      <c r="Q510">
        <v>5.4165999999999999</v>
      </c>
      <c r="R510">
        <v>4</v>
      </c>
    </row>
    <row r="511" spans="1:18" x14ac:dyDescent="0.2">
      <c r="A511">
        <v>482</v>
      </c>
      <c r="B511" t="s">
        <v>156</v>
      </c>
      <c r="C511" t="s">
        <v>1681</v>
      </c>
      <c r="D511">
        <v>-0.28499999999999998</v>
      </c>
      <c r="E511">
        <v>6</v>
      </c>
      <c r="F511" t="s">
        <v>885</v>
      </c>
      <c r="G511" t="s">
        <v>33</v>
      </c>
      <c r="H511" t="s">
        <v>40</v>
      </c>
      <c r="I511" t="s">
        <v>228</v>
      </c>
      <c r="J511" t="s">
        <v>1682</v>
      </c>
      <c r="L511" t="s">
        <v>2726</v>
      </c>
      <c r="N511" t="str">
        <f t="shared" si="6"/>
        <v xml:space="preserve"> 6.0741</v>
      </c>
      <c r="Q511">
        <v>6.0740999999999996</v>
      </c>
      <c r="R511">
        <v>6</v>
      </c>
    </row>
    <row r="512" spans="1:18" x14ac:dyDescent="0.2">
      <c r="A512">
        <v>483</v>
      </c>
      <c r="B512" t="s">
        <v>123</v>
      </c>
      <c r="C512" t="s">
        <v>1683</v>
      </c>
      <c r="D512">
        <v>0.66100000000000003</v>
      </c>
      <c r="E512">
        <v>4</v>
      </c>
      <c r="F512" t="s">
        <v>682</v>
      </c>
      <c r="G512" t="s">
        <v>33</v>
      </c>
      <c r="H512" t="s">
        <v>40</v>
      </c>
      <c r="I512" t="s">
        <v>228</v>
      </c>
      <c r="J512" t="s">
        <v>1684</v>
      </c>
      <c r="L512" t="s">
        <v>2727</v>
      </c>
      <c r="N512" t="str">
        <f t="shared" si="6"/>
        <v xml:space="preserve"> 5.8553</v>
      </c>
      <c r="Q512">
        <v>5.8552999999999997</v>
      </c>
      <c r="R512">
        <v>4</v>
      </c>
    </row>
    <row r="513" spans="1:18" x14ac:dyDescent="0.2">
      <c r="A513">
        <v>484</v>
      </c>
      <c r="B513" t="s">
        <v>108</v>
      </c>
      <c r="C513" t="s">
        <v>1685</v>
      </c>
      <c r="D513">
        <v>0.45200000000000001</v>
      </c>
      <c r="E513">
        <v>4</v>
      </c>
      <c r="F513" t="s">
        <v>690</v>
      </c>
      <c r="G513" t="s">
        <v>64</v>
      </c>
      <c r="H513" t="s">
        <v>40</v>
      </c>
      <c r="I513" t="s">
        <v>228</v>
      </c>
      <c r="J513" t="s">
        <v>1686</v>
      </c>
      <c r="L513" t="s">
        <v>2728</v>
      </c>
      <c r="N513" t="str">
        <f t="shared" si="6"/>
        <v xml:space="preserve"> 5.4770</v>
      </c>
      <c r="Q513">
        <v>5.4770000000000003</v>
      </c>
      <c r="R513">
        <v>4</v>
      </c>
    </row>
    <row r="514" spans="1:18" x14ac:dyDescent="0.2">
      <c r="A514">
        <v>485</v>
      </c>
      <c r="B514" t="s">
        <v>74</v>
      </c>
      <c r="C514" t="s">
        <v>1687</v>
      </c>
      <c r="D514">
        <v>-0.14000000000000001</v>
      </c>
      <c r="E514">
        <v>6</v>
      </c>
      <c r="F514" t="s">
        <v>1030</v>
      </c>
      <c r="G514" t="s">
        <v>33</v>
      </c>
      <c r="H514" t="s">
        <v>40</v>
      </c>
      <c r="I514" t="s">
        <v>228</v>
      </c>
      <c r="J514" t="s">
        <v>1688</v>
      </c>
      <c r="L514" t="s">
        <v>2729</v>
      </c>
      <c r="N514" t="str">
        <f t="shared" si="6"/>
        <v xml:space="preserve"> 7.3210</v>
      </c>
      <c r="Q514">
        <v>7.3209999999999997</v>
      </c>
      <c r="R514">
        <v>6</v>
      </c>
    </row>
    <row r="515" spans="1:18" x14ac:dyDescent="0.2">
      <c r="A515">
        <v>486</v>
      </c>
      <c r="B515" t="s">
        <v>118</v>
      </c>
      <c r="C515" t="s">
        <v>1689</v>
      </c>
      <c r="D515">
        <v>3.089</v>
      </c>
      <c r="E515">
        <v>1</v>
      </c>
      <c r="F515" t="s">
        <v>828</v>
      </c>
      <c r="G515" t="s">
        <v>33</v>
      </c>
      <c r="H515" t="s">
        <v>40</v>
      </c>
      <c r="I515" t="s">
        <v>228</v>
      </c>
      <c r="J515" t="s">
        <v>1690</v>
      </c>
      <c r="L515" t="s">
        <v>2730</v>
      </c>
      <c r="N515" t="str">
        <f t="shared" si="6"/>
        <v xml:space="preserve"> 9.6859</v>
      </c>
      <c r="Q515">
        <v>9.6859000000000002</v>
      </c>
      <c r="R515">
        <v>1</v>
      </c>
    </row>
    <row r="516" spans="1:18" x14ac:dyDescent="0.2">
      <c r="A516">
        <v>487</v>
      </c>
      <c r="B516" t="s">
        <v>94</v>
      </c>
      <c r="C516" t="s">
        <v>1691</v>
      </c>
      <c r="D516">
        <v>-0.08</v>
      </c>
      <c r="E516">
        <v>5</v>
      </c>
      <c r="F516" t="s">
        <v>791</v>
      </c>
      <c r="G516" t="s">
        <v>33</v>
      </c>
      <c r="H516" t="s">
        <v>40</v>
      </c>
      <c r="I516" t="s">
        <v>228</v>
      </c>
      <c r="J516" t="s">
        <v>1692</v>
      </c>
      <c r="L516" t="s">
        <v>2731</v>
      </c>
      <c r="N516" t="str">
        <f t="shared" si="6"/>
        <v xml:space="preserve"> 11.978</v>
      </c>
      <c r="Q516">
        <v>11.978</v>
      </c>
      <c r="R516">
        <v>5</v>
      </c>
    </row>
    <row r="517" spans="1:18" x14ac:dyDescent="0.2">
      <c r="A517">
        <v>488</v>
      </c>
      <c r="B517" t="s">
        <v>101</v>
      </c>
      <c r="C517" t="s">
        <v>1693</v>
      </c>
      <c r="D517">
        <v>3.0920000000000001</v>
      </c>
      <c r="E517">
        <v>1</v>
      </c>
      <c r="F517" t="s">
        <v>828</v>
      </c>
      <c r="G517" t="s">
        <v>33</v>
      </c>
      <c r="H517" t="s">
        <v>40</v>
      </c>
      <c r="I517" t="s">
        <v>228</v>
      </c>
      <c r="J517" t="s">
        <v>1694</v>
      </c>
      <c r="L517" t="s">
        <v>2732</v>
      </c>
      <c r="N517" t="str">
        <f t="shared" si="6"/>
        <v xml:space="preserve"> 15.286</v>
      </c>
      <c r="Q517">
        <v>15.286</v>
      </c>
      <c r="R517">
        <v>1</v>
      </c>
    </row>
    <row r="518" spans="1:18" x14ac:dyDescent="0.2">
      <c r="A518">
        <v>489</v>
      </c>
      <c r="B518" t="s">
        <v>43</v>
      </c>
      <c r="C518" t="s">
        <v>1695</v>
      </c>
      <c r="D518">
        <v>2.4329999999999998</v>
      </c>
      <c r="E518">
        <v>2</v>
      </c>
      <c r="F518" t="s">
        <v>684</v>
      </c>
      <c r="G518" t="s">
        <v>33</v>
      </c>
      <c r="H518" t="s">
        <v>40</v>
      </c>
      <c r="I518" t="s">
        <v>228</v>
      </c>
      <c r="J518" t="s">
        <v>1696</v>
      </c>
      <c r="L518" t="s">
        <v>2733</v>
      </c>
      <c r="N518" t="str">
        <f t="shared" si="6"/>
        <v xml:space="preserve"> 12.718</v>
      </c>
      <c r="Q518">
        <v>12.718</v>
      </c>
      <c r="R518">
        <v>2</v>
      </c>
    </row>
    <row r="519" spans="1:18" x14ac:dyDescent="0.2">
      <c r="A519">
        <v>490</v>
      </c>
      <c r="B519" t="s">
        <v>37</v>
      </c>
      <c r="C519" t="s">
        <v>1697</v>
      </c>
      <c r="D519">
        <v>-0.13300000000000001</v>
      </c>
      <c r="E519">
        <v>6</v>
      </c>
      <c r="F519" t="s">
        <v>1030</v>
      </c>
      <c r="G519" t="s">
        <v>33</v>
      </c>
      <c r="H519" t="s">
        <v>40</v>
      </c>
      <c r="I519" t="s">
        <v>228</v>
      </c>
      <c r="J519" t="s">
        <v>1698</v>
      </c>
      <c r="L519" t="s">
        <v>2734</v>
      </c>
      <c r="N519" t="str">
        <f t="shared" ref="N519:N582" si="7">RIGHT((LEFT(L519,11)),7)</f>
        <v xml:space="preserve"> 14.598</v>
      </c>
      <c r="Q519">
        <v>14.598000000000001</v>
      </c>
      <c r="R519">
        <v>6</v>
      </c>
    </row>
    <row r="520" spans="1:18" x14ac:dyDescent="0.2">
      <c r="A520">
        <v>491</v>
      </c>
      <c r="B520" t="s">
        <v>123</v>
      </c>
      <c r="C520" t="s">
        <v>1699</v>
      </c>
      <c r="D520">
        <v>2.016</v>
      </c>
      <c r="E520">
        <v>2</v>
      </c>
      <c r="F520" t="s">
        <v>842</v>
      </c>
      <c r="G520" t="s">
        <v>33</v>
      </c>
      <c r="H520" t="s">
        <v>40</v>
      </c>
      <c r="I520" t="s">
        <v>228</v>
      </c>
      <c r="J520" t="s">
        <v>1700</v>
      </c>
      <c r="L520" t="s">
        <v>2735</v>
      </c>
      <c r="N520" t="str">
        <f t="shared" si="7"/>
        <v xml:space="preserve"> 14.652</v>
      </c>
      <c r="Q520">
        <v>14.651999999999999</v>
      </c>
      <c r="R520">
        <v>2</v>
      </c>
    </row>
    <row r="521" spans="1:18" x14ac:dyDescent="0.2">
      <c r="A521">
        <v>492</v>
      </c>
      <c r="B521" t="s">
        <v>118</v>
      </c>
      <c r="C521" t="s">
        <v>1701</v>
      </c>
      <c r="D521">
        <v>0.33700000000000002</v>
      </c>
      <c r="E521">
        <v>5</v>
      </c>
      <c r="F521" t="s">
        <v>744</v>
      </c>
      <c r="G521" t="s">
        <v>64</v>
      </c>
      <c r="H521" t="s">
        <v>40</v>
      </c>
      <c r="I521" t="s">
        <v>228</v>
      </c>
      <c r="J521" t="s">
        <v>1702</v>
      </c>
      <c r="L521" t="s">
        <v>2736</v>
      </c>
      <c r="N521" t="str">
        <f t="shared" si="7"/>
        <v xml:space="preserve"> 15.813</v>
      </c>
      <c r="Q521">
        <v>15.813000000000001</v>
      </c>
      <c r="R521">
        <v>5</v>
      </c>
    </row>
    <row r="522" spans="1:18" x14ac:dyDescent="0.2">
      <c r="A522">
        <v>493</v>
      </c>
      <c r="B522" t="s">
        <v>37</v>
      </c>
      <c r="C522" t="s">
        <v>1703</v>
      </c>
      <c r="D522">
        <v>1.7310000000000001</v>
      </c>
      <c r="E522">
        <v>3</v>
      </c>
      <c r="F522" t="s">
        <v>842</v>
      </c>
      <c r="G522" t="s">
        <v>33</v>
      </c>
      <c r="H522" t="s">
        <v>40</v>
      </c>
      <c r="I522" t="s">
        <v>165</v>
      </c>
      <c r="J522" t="s">
        <v>1704</v>
      </c>
      <c r="L522" t="s">
        <v>2737</v>
      </c>
      <c r="N522" t="str">
        <f t="shared" si="7"/>
        <v xml:space="preserve"> 18.649</v>
      </c>
      <c r="Q522">
        <v>18.649000000000001</v>
      </c>
      <c r="R522">
        <v>3</v>
      </c>
    </row>
    <row r="523" spans="1:18" x14ac:dyDescent="0.2">
      <c r="A523">
        <v>494</v>
      </c>
      <c r="B523" t="s">
        <v>135</v>
      </c>
      <c r="C523" t="s">
        <v>1705</v>
      </c>
      <c r="D523">
        <v>0.317</v>
      </c>
      <c r="E523">
        <v>5</v>
      </c>
      <c r="F523" t="s">
        <v>744</v>
      </c>
      <c r="G523" t="s">
        <v>33</v>
      </c>
      <c r="H523" t="s">
        <v>40</v>
      </c>
      <c r="I523" t="s">
        <v>165</v>
      </c>
      <c r="J523" t="s">
        <v>1706</v>
      </c>
      <c r="L523" t="s">
        <v>2738</v>
      </c>
      <c r="N523" t="str">
        <f t="shared" si="7"/>
        <v xml:space="preserve"> 20.493</v>
      </c>
      <c r="Q523">
        <v>20.492999999999999</v>
      </c>
      <c r="R523">
        <v>5</v>
      </c>
    </row>
    <row r="524" spans="1:18" x14ac:dyDescent="0.2">
      <c r="A524">
        <v>495</v>
      </c>
      <c r="B524" t="s">
        <v>118</v>
      </c>
      <c r="C524" t="s">
        <v>1707</v>
      </c>
      <c r="D524">
        <v>0.98499999999999999</v>
      </c>
      <c r="E524">
        <v>4</v>
      </c>
      <c r="F524" t="s">
        <v>759</v>
      </c>
      <c r="G524" t="s">
        <v>64</v>
      </c>
      <c r="H524" t="s">
        <v>40</v>
      </c>
      <c r="I524" t="s">
        <v>165</v>
      </c>
      <c r="J524" t="s">
        <v>1708</v>
      </c>
      <c r="L524" t="s">
        <v>2739</v>
      </c>
      <c r="N524" t="str">
        <f t="shared" si="7"/>
        <v xml:space="preserve"> 18.854</v>
      </c>
      <c r="Q524">
        <v>18.853999999999999</v>
      </c>
      <c r="R524">
        <v>4</v>
      </c>
    </row>
    <row r="525" spans="1:18" x14ac:dyDescent="0.2">
      <c r="A525">
        <v>496</v>
      </c>
      <c r="B525" t="s">
        <v>108</v>
      </c>
      <c r="C525" t="s">
        <v>1709</v>
      </c>
      <c r="D525">
        <v>-2.4E-2</v>
      </c>
      <c r="E525">
        <v>5</v>
      </c>
      <c r="F525" t="s">
        <v>701</v>
      </c>
      <c r="G525" t="s">
        <v>64</v>
      </c>
      <c r="H525" t="s">
        <v>40</v>
      </c>
      <c r="I525" t="s">
        <v>165</v>
      </c>
      <c r="J525" t="s">
        <v>1710</v>
      </c>
      <c r="L525" t="s">
        <v>2740</v>
      </c>
      <c r="N525" t="str">
        <f t="shared" si="7"/>
        <v xml:space="preserve"> 18.824</v>
      </c>
      <c r="Q525">
        <v>18.824000000000002</v>
      </c>
      <c r="R525">
        <v>5</v>
      </c>
    </row>
    <row r="526" spans="1:18" x14ac:dyDescent="0.2">
      <c r="A526">
        <v>497</v>
      </c>
      <c r="B526" t="s">
        <v>94</v>
      </c>
      <c r="C526" t="s">
        <v>1711</v>
      </c>
      <c r="D526">
        <v>-0.29499999999999998</v>
      </c>
      <c r="E526">
        <v>6</v>
      </c>
      <c r="F526" t="s">
        <v>734</v>
      </c>
      <c r="G526" t="s">
        <v>64</v>
      </c>
      <c r="H526" t="s">
        <v>40</v>
      </c>
      <c r="I526" t="s">
        <v>228</v>
      </c>
      <c r="J526" t="s">
        <v>1712</v>
      </c>
      <c r="L526" t="s">
        <v>2741</v>
      </c>
      <c r="N526" t="str">
        <f t="shared" si="7"/>
        <v xml:space="preserve"> 16.636</v>
      </c>
      <c r="Q526">
        <v>16.635999999999999</v>
      </c>
      <c r="R526">
        <v>6</v>
      </c>
    </row>
    <row r="527" spans="1:18" x14ac:dyDescent="0.2">
      <c r="A527">
        <v>498</v>
      </c>
      <c r="B527" t="s">
        <v>194</v>
      </c>
      <c r="C527" t="s">
        <v>1713</v>
      </c>
      <c r="D527">
        <v>-0.78200000000000003</v>
      </c>
      <c r="E527">
        <v>9</v>
      </c>
      <c r="F527" t="s">
        <v>1288</v>
      </c>
      <c r="G527" t="s">
        <v>33</v>
      </c>
      <c r="H527" t="s">
        <v>34</v>
      </c>
      <c r="I527" t="s">
        <v>228</v>
      </c>
      <c r="J527" t="s">
        <v>1714</v>
      </c>
      <c r="L527" t="s">
        <v>2742</v>
      </c>
      <c r="N527" t="str">
        <f t="shared" si="7"/>
        <v xml:space="preserve"> 16.131</v>
      </c>
      <c r="Q527">
        <v>16.131</v>
      </c>
      <c r="R527">
        <v>9</v>
      </c>
    </row>
    <row r="528" spans="1:18" x14ac:dyDescent="0.2">
      <c r="A528">
        <v>499</v>
      </c>
      <c r="B528" t="s">
        <v>94</v>
      </c>
      <c r="C528" t="s">
        <v>1715</v>
      </c>
      <c r="D528">
        <v>-0.71799999999999997</v>
      </c>
      <c r="E528">
        <v>8</v>
      </c>
      <c r="F528" t="s">
        <v>1062</v>
      </c>
      <c r="G528" t="s">
        <v>64</v>
      </c>
      <c r="H528" t="s">
        <v>40</v>
      </c>
      <c r="I528" t="s">
        <v>228</v>
      </c>
      <c r="J528" t="s">
        <v>1716</v>
      </c>
      <c r="L528" t="s">
        <v>2743</v>
      </c>
      <c r="N528" t="str">
        <f t="shared" si="7"/>
        <v xml:space="preserve"> 13.662</v>
      </c>
      <c r="Q528">
        <v>13.662000000000001</v>
      </c>
      <c r="R528">
        <v>8</v>
      </c>
    </row>
    <row r="529" spans="1:18" x14ac:dyDescent="0.2">
      <c r="A529">
        <v>500</v>
      </c>
      <c r="B529" t="s">
        <v>108</v>
      </c>
      <c r="C529" t="s">
        <v>1717</v>
      </c>
      <c r="D529">
        <v>-0.51800000000000002</v>
      </c>
      <c r="E529">
        <v>8</v>
      </c>
      <c r="F529" t="s">
        <v>882</v>
      </c>
      <c r="G529" t="s">
        <v>33</v>
      </c>
      <c r="H529" t="s">
        <v>34</v>
      </c>
      <c r="I529" t="s">
        <v>228</v>
      </c>
      <c r="J529" t="s">
        <v>1718</v>
      </c>
      <c r="L529" t="s">
        <v>2744</v>
      </c>
      <c r="N529" t="str">
        <f t="shared" si="7"/>
        <v xml:space="preserve"> 13.070</v>
      </c>
      <c r="Q529">
        <v>13.07</v>
      </c>
      <c r="R529">
        <v>8</v>
      </c>
    </row>
    <row r="530" spans="1:18" x14ac:dyDescent="0.2">
      <c r="A530">
        <v>501</v>
      </c>
      <c r="B530" t="s">
        <v>113</v>
      </c>
      <c r="C530" t="s">
        <v>1719</v>
      </c>
      <c r="D530">
        <v>-0.48799999999999999</v>
      </c>
      <c r="E530">
        <v>7</v>
      </c>
      <c r="F530" t="s">
        <v>1167</v>
      </c>
      <c r="G530" t="s">
        <v>64</v>
      </c>
      <c r="H530" t="s">
        <v>40</v>
      </c>
      <c r="I530" t="s">
        <v>228</v>
      </c>
      <c r="J530" t="s">
        <v>1720</v>
      </c>
      <c r="L530" t="s">
        <v>2745</v>
      </c>
      <c r="N530" t="str">
        <f t="shared" si="7"/>
        <v xml:space="preserve"> 11.651</v>
      </c>
      <c r="Q530">
        <v>11.651</v>
      </c>
      <c r="R530">
        <v>7</v>
      </c>
    </row>
    <row r="531" spans="1:18" x14ac:dyDescent="0.2">
      <c r="A531">
        <v>502</v>
      </c>
      <c r="B531" t="s">
        <v>37</v>
      </c>
      <c r="C531" t="s">
        <v>1721</v>
      </c>
      <c r="D531">
        <v>-0.32700000000000001</v>
      </c>
      <c r="E531">
        <v>7</v>
      </c>
      <c r="F531" t="s">
        <v>901</v>
      </c>
      <c r="G531" t="s">
        <v>33</v>
      </c>
      <c r="H531" t="s">
        <v>40</v>
      </c>
      <c r="I531" t="s">
        <v>228</v>
      </c>
      <c r="J531" t="s">
        <v>1722</v>
      </c>
      <c r="L531" t="s">
        <v>2746</v>
      </c>
      <c r="N531" t="str">
        <f t="shared" si="7"/>
        <v xml:space="preserve"> 9.9106</v>
      </c>
      <c r="Q531">
        <v>9.9106000000000005</v>
      </c>
      <c r="R531">
        <v>7</v>
      </c>
    </row>
    <row r="532" spans="1:18" x14ac:dyDescent="0.2">
      <c r="A532">
        <v>503</v>
      </c>
      <c r="B532" t="s">
        <v>194</v>
      </c>
      <c r="C532" t="s">
        <v>1723</v>
      </c>
      <c r="D532">
        <v>-0.878</v>
      </c>
      <c r="E532">
        <v>9</v>
      </c>
      <c r="F532" t="s">
        <v>1045</v>
      </c>
      <c r="G532" t="s">
        <v>33</v>
      </c>
      <c r="H532" t="s">
        <v>34</v>
      </c>
      <c r="I532" t="s">
        <v>228</v>
      </c>
      <c r="J532" t="s">
        <v>1724</v>
      </c>
      <c r="L532" t="s">
        <v>2747</v>
      </c>
      <c r="N532" t="str">
        <f t="shared" si="7"/>
        <v xml:space="preserve"> 7.0090</v>
      </c>
      <c r="Q532">
        <v>7.0090000000000003</v>
      </c>
      <c r="R532">
        <v>9</v>
      </c>
    </row>
    <row r="533" spans="1:18" x14ac:dyDescent="0.2">
      <c r="A533">
        <v>504</v>
      </c>
      <c r="B533" t="s">
        <v>127</v>
      </c>
      <c r="C533" t="s">
        <v>1725</v>
      </c>
      <c r="D533">
        <v>-0.80600000000000005</v>
      </c>
      <c r="E533">
        <v>9</v>
      </c>
      <c r="F533" t="s">
        <v>1054</v>
      </c>
      <c r="G533" t="s">
        <v>33</v>
      </c>
      <c r="H533" t="s">
        <v>34</v>
      </c>
      <c r="I533" t="s">
        <v>228</v>
      </c>
      <c r="J533" t="s">
        <v>1726</v>
      </c>
      <c r="L533" t="s">
        <v>2748</v>
      </c>
      <c r="N533" t="str">
        <f t="shared" si="7"/>
        <v xml:space="preserve"> 8.4412</v>
      </c>
      <c r="Q533">
        <v>8.4412000000000003</v>
      </c>
      <c r="R533">
        <v>9</v>
      </c>
    </row>
    <row r="534" spans="1:18" x14ac:dyDescent="0.2">
      <c r="A534">
        <v>505</v>
      </c>
      <c r="B534" t="s">
        <v>142</v>
      </c>
      <c r="C534" t="s">
        <v>1727</v>
      </c>
      <c r="D534">
        <v>0.46200000000000002</v>
      </c>
      <c r="E534">
        <v>4</v>
      </c>
      <c r="F534" t="s">
        <v>690</v>
      </c>
      <c r="G534" t="s">
        <v>64</v>
      </c>
      <c r="H534" t="s">
        <v>40</v>
      </c>
      <c r="I534" t="s">
        <v>228</v>
      </c>
      <c r="J534" t="s">
        <v>1728</v>
      </c>
      <c r="L534" t="s">
        <v>2749</v>
      </c>
      <c r="N534" t="str">
        <f t="shared" si="7"/>
        <v xml:space="preserve"> 8.2876</v>
      </c>
      <c r="Q534">
        <v>8.2875999999999994</v>
      </c>
      <c r="R534">
        <v>4</v>
      </c>
    </row>
    <row r="535" spans="1:18" x14ac:dyDescent="0.2">
      <c r="A535">
        <v>506</v>
      </c>
      <c r="B535" t="s">
        <v>135</v>
      </c>
      <c r="C535" t="s">
        <v>1729</v>
      </c>
      <c r="D535">
        <v>-0.65900000000000003</v>
      </c>
      <c r="E535">
        <v>8</v>
      </c>
      <c r="F535" t="s">
        <v>896</v>
      </c>
      <c r="G535" t="s">
        <v>33</v>
      </c>
      <c r="H535" t="s">
        <v>34</v>
      </c>
      <c r="I535" t="s">
        <v>228</v>
      </c>
      <c r="J535" t="s">
        <v>1730</v>
      </c>
      <c r="L535" t="s">
        <v>2750</v>
      </c>
      <c r="N535" t="str">
        <f t="shared" si="7"/>
        <v xml:space="preserve"> 10.216</v>
      </c>
      <c r="Q535">
        <v>10.215999999999999</v>
      </c>
      <c r="R535">
        <v>8</v>
      </c>
    </row>
    <row r="536" spans="1:18" x14ac:dyDescent="0.2">
      <c r="A536">
        <v>507</v>
      </c>
      <c r="B536" t="s">
        <v>123</v>
      </c>
      <c r="C536" t="s">
        <v>1731</v>
      </c>
      <c r="D536">
        <v>2.161</v>
      </c>
      <c r="E536">
        <v>2</v>
      </c>
      <c r="F536" t="s">
        <v>684</v>
      </c>
      <c r="G536" t="s">
        <v>33</v>
      </c>
      <c r="H536" t="s">
        <v>40</v>
      </c>
      <c r="I536" t="s">
        <v>228</v>
      </c>
      <c r="J536" t="s">
        <v>1732</v>
      </c>
      <c r="L536" t="s">
        <v>2751</v>
      </c>
      <c r="N536" t="str">
        <f t="shared" si="7"/>
        <v xml:space="preserve"> 10.775</v>
      </c>
      <c r="Q536">
        <v>10.775</v>
      </c>
      <c r="R536">
        <v>2</v>
      </c>
    </row>
    <row r="537" spans="1:18" x14ac:dyDescent="0.2">
      <c r="A537">
        <v>508</v>
      </c>
      <c r="B537" t="s">
        <v>43</v>
      </c>
      <c r="C537" t="s">
        <v>1733</v>
      </c>
      <c r="D537">
        <v>0.85</v>
      </c>
      <c r="E537">
        <v>4</v>
      </c>
      <c r="F537" t="s">
        <v>759</v>
      </c>
      <c r="G537" t="s">
        <v>33</v>
      </c>
      <c r="H537" t="s">
        <v>40</v>
      </c>
      <c r="I537" t="s">
        <v>228</v>
      </c>
      <c r="J537" t="s">
        <v>1734</v>
      </c>
      <c r="L537" t="s">
        <v>2752</v>
      </c>
      <c r="N537" t="str">
        <f t="shared" si="7"/>
        <v xml:space="preserve"> 13.257</v>
      </c>
      <c r="Q537">
        <v>13.257</v>
      </c>
      <c r="R537">
        <v>4</v>
      </c>
    </row>
    <row r="538" spans="1:18" x14ac:dyDescent="0.2">
      <c r="A538">
        <v>509</v>
      </c>
      <c r="B538" t="s">
        <v>43</v>
      </c>
      <c r="C538" t="s">
        <v>1735</v>
      </c>
      <c r="D538">
        <v>9.0999999999999998E-2</v>
      </c>
      <c r="E538">
        <v>5</v>
      </c>
      <c r="F538" t="s">
        <v>696</v>
      </c>
      <c r="G538" t="s">
        <v>33</v>
      </c>
      <c r="H538" t="s">
        <v>40</v>
      </c>
      <c r="I538" t="s">
        <v>228</v>
      </c>
      <c r="J538" t="s">
        <v>1736</v>
      </c>
      <c r="L538" t="s">
        <v>2753</v>
      </c>
      <c r="N538" t="str">
        <f t="shared" si="7"/>
        <v xml:space="preserve"> 14.494</v>
      </c>
      <c r="Q538">
        <v>14.494</v>
      </c>
      <c r="R538">
        <v>5</v>
      </c>
    </row>
    <row r="539" spans="1:18" x14ac:dyDescent="0.2">
      <c r="A539">
        <v>510</v>
      </c>
      <c r="B539" t="s">
        <v>127</v>
      </c>
      <c r="C539" t="s">
        <v>1737</v>
      </c>
      <c r="D539">
        <v>2.8879999999999999</v>
      </c>
      <c r="E539">
        <v>1</v>
      </c>
      <c r="F539" t="s">
        <v>828</v>
      </c>
      <c r="G539" t="s">
        <v>33</v>
      </c>
      <c r="H539" t="s">
        <v>40</v>
      </c>
      <c r="I539" t="s">
        <v>228</v>
      </c>
      <c r="J539" t="s">
        <v>1738</v>
      </c>
      <c r="L539" t="s">
        <v>2754</v>
      </c>
      <c r="N539" t="str">
        <f t="shared" si="7"/>
        <v xml:space="preserve"> 16.508</v>
      </c>
      <c r="Q539">
        <v>16.507999999999999</v>
      </c>
      <c r="R539">
        <v>1</v>
      </c>
    </row>
    <row r="540" spans="1:18" x14ac:dyDescent="0.2">
      <c r="A540">
        <v>511</v>
      </c>
      <c r="B540" t="s">
        <v>57</v>
      </c>
      <c r="C540" t="s">
        <v>1739</v>
      </c>
      <c r="D540">
        <v>1.042</v>
      </c>
      <c r="E540">
        <v>4</v>
      </c>
      <c r="F540" t="s">
        <v>749</v>
      </c>
      <c r="G540" t="s">
        <v>33</v>
      </c>
      <c r="H540" t="s">
        <v>40</v>
      </c>
      <c r="I540" t="s">
        <v>228</v>
      </c>
      <c r="J540" t="s">
        <v>1740</v>
      </c>
      <c r="L540" t="s">
        <v>2755</v>
      </c>
      <c r="N540" t="str">
        <f t="shared" si="7"/>
        <v xml:space="preserve"> 17.349</v>
      </c>
      <c r="Q540">
        <v>17.349</v>
      </c>
      <c r="R540">
        <v>4</v>
      </c>
    </row>
    <row r="541" spans="1:18" x14ac:dyDescent="0.2">
      <c r="A541">
        <v>512</v>
      </c>
      <c r="B541" t="s">
        <v>94</v>
      </c>
      <c r="C541" t="s">
        <v>1741</v>
      </c>
      <c r="D541">
        <v>1.4419999999999999</v>
      </c>
      <c r="E541">
        <v>3</v>
      </c>
      <c r="F541" t="s">
        <v>687</v>
      </c>
      <c r="G541" t="s">
        <v>64</v>
      </c>
      <c r="H541" t="s">
        <v>40</v>
      </c>
      <c r="I541" t="s">
        <v>228</v>
      </c>
      <c r="J541" t="s">
        <v>1742</v>
      </c>
      <c r="L541" t="s">
        <v>2756</v>
      </c>
      <c r="N541" t="str">
        <f t="shared" si="7"/>
        <v xml:space="preserve"> 19.422</v>
      </c>
      <c r="Q541">
        <v>19.422000000000001</v>
      </c>
      <c r="R541">
        <v>3</v>
      </c>
    </row>
    <row r="542" spans="1:18" x14ac:dyDescent="0.2">
      <c r="A542">
        <v>513</v>
      </c>
      <c r="B542" t="s">
        <v>194</v>
      </c>
      <c r="C542" t="s">
        <v>1743</v>
      </c>
      <c r="D542">
        <v>-1.2999999999999999E-2</v>
      </c>
      <c r="E542">
        <v>5</v>
      </c>
      <c r="F542" t="s">
        <v>1338</v>
      </c>
      <c r="G542" t="s">
        <v>33</v>
      </c>
      <c r="H542" t="s">
        <v>40</v>
      </c>
      <c r="I542" t="s">
        <v>228</v>
      </c>
      <c r="J542" t="s">
        <v>1744</v>
      </c>
      <c r="L542" t="s">
        <v>2757</v>
      </c>
      <c r="N542" t="str">
        <f t="shared" si="7"/>
        <v xml:space="preserve"> 20.199</v>
      </c>
      <c r="Q542">
        <v>20.199000000000002</v>
      </c>
      <c r="R542">
        <v>5</v>
      </c>
    </row>
    <row r="543" spans="1:18" x14ac:dyDescent="0.2">
      <c r="A543">
        <v>514</v>
      </c>
      <c r="B543" t="s">
        <v>97</v>
      </c>
      <c r="C543" t="s">
        <v>1745</v>
      </c>
      <c r="D543">
        <v>-0.16200000000000001</v>
      </c>
      <c r="E543">
        <v>6</v>
      </c>
      <c r="F543" t="s">
        <v>1030</v>
      </c>
      <c r="G543" t="s">
        <v>33</v>
      </c>
      <c r="H543" t="s">
        <v>40</v>
      </c>
      <c r="I543" t="s">
        <v>228</v>
      </c>
      <c r="J543" t="s">
        <v>1746</v>
      </c>
      <c r="L543" t="s">
        <v>2758</v>
      </c>
      <c r="N543" t="str">
        <f t="shared" si="7"/>
        <v xml:space="preserve"> 18.951</v>
      </c>
      <c r="Q543">
        <v>18.951000000000001</v>
      </c>
      <c r="R543">
        <v>6</v>
      </c>
    </row>
    <row r="544" spans="1:18" x14ac:dyDescent="0.2">
      <c r="A544">
        <v>515</v>
      </c>
      <c r="B544" t="s">
        <v>74</v>
      </c>
      <c r="C544" t="s">
        <v>1747</v>
      </c>
      <c r="D544">
        <v>1.2999999999999999E-2</v>
      </c>
      <c r="E544">
        <v>5</v>
      </c>
      <c r="F544" t="s">
        <v>696</v>
      </c>
      <c r="G544" t="s">
        <v>33</v>
      </c>
      <c r="H544" t="s">
        <v>40</v>
      </c>
      <c r="I544" t="s">
        <v>165</v>
      </c>
      <c r="J544" t="s">
        <v>1748</v>
      </c>
      <c r="L544" t="s">
        <v>2759</v>
      </c>
      <c r="N544" t="str">
        <f t="shared" si="7"/>
        <v xml:space="preserve"> 19.033</v>
      </c>
      <c r="Q544">
        <v>19.033000000000001</v>
      </c>
      <c r="R544">
        <v>5</v>
      </c>
    </row>
    <row r="545" spans="1:18" x14ac:dyDescent="0.2">
      <c r="A545">
        <v>516</v>
      </c>
      <c r="B545" t="s">
        <v>94</v>
      </c>
      <c r="C545" t="s">
        <v>1749</v>
      </c>
      <c r="D545">
        <v>-0.61499999999999999</v>
      </c>
      <c r="E545">
        <v>8</v>
      </c>
      <c r="F545" t="s">
        <v>906</v>
      </c>
      <c r="G545" t="s">
        <v>64</v>
      </c>
      <c r="H545" t="s">
        <v>40</v>
      </c>
      <c r="I545" t="s">
        <v>165</v>
      </c>
      <c r="J545" t="s">
        <v>1750</v>
      </c>
      <c r="L545" t="s">
        <v>2760</v>
      </c>
      <c r="N545" t="str">
        <f t="shared" si="7"/>
        <v xml:space="preserve"> 17.119</v>
      </c>
      <c r="Q545">
        <v>17.119</v>
      </c>
      <c r="R545">
        <v>8</v>
      </c>
    </row>
    <row r="546" spans="1:18" x14ac:dyDescent="0.2">
      <c r="A546">
        <v>517</v>
      </c>
      <c r="B546" t="s">
        <v>142</v>
      </c>
      <c r="C546" t="s">
        <v>1751</v>
      </c>
      <c r="D546">
        <v>1.4850000000000001</v>
      </c>
      <c r="E546">
        <v>3</v>
      </c>
      <c r="F546" t="s">
        <v>687</v>
      </c>
      <c r="G546" t="s">
        <v>64</v>
      </c>
      <c r="H546" t="s">
        <v>40</v>
      </c>
      <c r="I546" t="s">
        <v>165</v>
      </c>
      <c r="J546" t="s">
        <v>1752</v>
      </c>
      <c r="L546" t="s">
        <v>2761</v>
      </c>
      <c r="N546" t="str">
        <f t="shared" si="7"/>
        <v xml:space="preserve"> 18.195</v>
      </c>
      <c r="Q546">
        <v>18.195</v>
      </c>
      <c r="R546">
        <v>3</v>
      </c>
    </row>
    <row r="547" spans="1:18" x14ac:dyDescent="0.2">
      <c r="A547">
        <v>518</v>
      </c>
      <c r="B547" t="s">
        <v>43</v>
      </c>
      <c r="C547" t="s">
        <v>1753</v>
      </c>
      <c r="D547">
        <v>1.4790000000000001</v>
      </c>
      <c r="E547">
        <v>3</v>
      </c>
      <c r="F547" t="s">
        <v>687</v>
      </c>
      <c r="G547" t="s">
        <v>33</v>
      </c>
      <c r="H547" t="s">
        <v>40</v>
      </c>
      <c r="I547" t="s">
        <v>228</v>
      </c>
      <c r="J547" t="s">
        <v>1754</v>
      </c>
      <c r="L547" t="s">
        <v>2762</v>
      </c>
      <c r="N547" t="str">
        <f t="shared" si="7"/>
        <v xml:space="preserve"> 17.031</v>
      </c>
      <c r="Q547">
        <v>17.030999999999999</v>
      </c>
      <c r="R547">
        <v>3</v>
      </c>
    </row>
    <row r="548" spans="1:18" x14ac:dyDescent="0.2">
      <c r="A548">
        <v>519</v>
      </c>
      <c r="B548" t="s">
        <v>113</v>
      </c>
      <c r="C548" t="s">
        <v>1755</v>
      </c>
      <c r="D548">
        <v>0.42699999999999999</v>
      </c>
      <c r="E548">
        <v>4</v>
      </c>
      <c r="F548" t="s">
        <v>690</v>
      </c>
      <c r="G548" t="s">
        <v>64</v>
      </c>
      <c r="H548" t="s">
        <v>40</v>
      </c>
      <c r="I548" t="s">
        <v>228</v>
      </c>
      <c r="J548" t="s">
        <v>1756</v>
      </c>
      <c r="L548" t="s">
        <v>2763</v>
      </c>
      <c r="N548" t="str">
        <f t="shared" si="7"/>
        <v xml:space="preserve"> 15.017</v>
      </c>
      <c r="Q548">
        <v>15.016999999999999</v>
      </c>
      <c r="R548">
        <v>4</v>
      </c>
    </row>
    <row r="549" spans="1:18" x14ac:dyDescent="0.2">
      <c r="A549">
        <v>520</v>
      </c>
      <c r="B549" t="s">
        <v>123</v>
      </c>
      <c r="C549" t="s">
        <v>1757</v>
      </c>
      <c r="D549">
        <v>6.9000000000000006E-2</v>
      </c>
      <c r="E549">
        <v>5</v>
      </c>
      <c r="F549" t="s">
        <v>696</v>
      </c>
      <c r="G549" t="s">
        <v>33</v>
      </c>
      <c r="H549" t="s">
        <v>40</v>
      </c>
      <c r="I549" t="s">
        <v>228</v>
      </c>
      <c r="J549" t="s">
        <v>1758</v>
      </c>
      <c r="L549" t="s">
        <v>2764</v>
      </c>
      <c r="N549" t="str">
        <f t="shared" si="7"/>
        <v xml:space="preserve"> 13.781</v>
      </c>
      <c r="Q549">
        <v>13.781000000000001</v>
      </c>
      <c r="R549">
        <v>5</v>
      </c>
    </row>
    <row r="550" spans="1:18" x14ac:dyDescent="0.2">
      <c r="A550">
        <v>521</v>
      </c>
      <c r="B550" t="s">
        <v>113</v>
      </c>
      <c r="C550" t="s">
        <v>1759</v>
      </c>
      <c r="D550">
        <v>1.0269999999999999</v>
      </c>
      <c r="E550">
        <v>4</v>
      </c>
      <c r="F550" t="s">
        <v>749</v>
      </c>
      <c r="G550" t="s">
        <v>64</v>
      </c>
      <c r="H550" t="s">
        <v>40</v>
      </c>
      <c r="I550" t="s">
        <v>228</v>
      </c>
      <c r="J550" t="s">
        <v>1760</v>
      </c>
      <c r="L550" t="s">
        <v>2765</v>
      </c>
      <c r="N550" t="str">
        <f t="shared" si="7"/>
        <v xml:space="preserve"> 11.738</v>
      </c>
      <c r="Q550">
        <v>11.738</v>
      </c>
      <c r="R550">
        <v>4</v>
      </c>
    </row>
    <row r="551" spans="1:18" x14ac:dyDescent="0.2">
      <c r="A551">
        <v>522</v>
      </c>
      <c r="B551" t="s">
        <v>74</v>
      </c>
      <c r="C551" t="s">
        <v>1761</v>
      </c>
      <c r="D551">
        <v>-0.315</v>
      </c>
      <c r="E551">
        <v>7</v>
      </c>
      <c r="F551" t="s">
        <v>901</v>
      </c>
      <c r="G551" t="s">
        <v>33</v>
      </c>
      <c r="H551" t="s">
        <v>40</v>
      </c>
      <c r="I551" t="s">
        <v>228</v>
      </c>
      <c r="J551" t="s">
        <v>1762</v>
      </c>
      <c r="L551" t="s">
        <v>2766</v>
      </c>
      <c r="N551" t="str">
        <f t="shared" si="7"/>
        <v xml:space="preserve"> 9.6335</v>
      </c>
      <c r="Q551">
        <v>9.6334999999999997</v>
      </c>
      <c r="R551">
        <v>7</v>
      </c>
    </row>
    <row r="552" spans="1:18" x14ac:dyDescent="0.2">
      <c r="A552">
        <v>523</v>
      </c>
      <c r="B552" t="s">
        <v>156</v>
      </c>
      <c r="C552" t="s">
        <v>1763</v>
      </c>
      <c r="D552">
        <v>0.08</v>
      </c>
      <c r="E552">
        <v>5</v>
      </c>
      <c r="F552" t="s">
        <v>696</v>
      </c>
      <c r="G552" t="s">
        <v>33</v>
      </c>
      <c r="H552" t="s">
        <v>40</v>
      </c>
      <c r="I552" t="s">
        <v>165</v>
      </c>
      <c r="J552" t="s">
        <v>1764</v>
      </c>
      <c r="L552" t="s">
        <v>2767</v>
      </c>
      <c r="N552" t="str">
        <f t="shared" si="7"/>
        <v xml:space="preserve"> 6.9841</v>
      </c>
      <c r="Q552">
        <v>6.9840999999999998</v>
      </c>
      <c r="R552">
        <v>5</v>
      </c>
    </row>
    <row r="553" spans="1:18" x14ac:dyDescent="0.2">
      <c r="A553">
        <v>524</v>
      </c>
      <c r="B553" t="s">
        <v>118</v>
      </c>
      <c r="C553" t="s">
        <v>1765</v>
      </c>
      <c r="D553">
        <v>-0.67500000000000004</v>
      </c>
      <c r="E553">
        <v>8</v>
      </c>
      <c r="F553" t="s">
        <v>1303</v>
      </c>
      <c r="G553" t="s">
        <v>64</v>
      </c>
      <c r="H553" t="s">
        <v>40</v>
      </c>
      <c r="I553" t="s">
        <v>165</v>
      </c>
      <c r="J553" t="s">
        <v>1766</v>
      </c>
      <c r="L553" t="s">
        <v>2768</v>
      </c>
      <c r="N553" t="str">
        <f t="shared" si="7"/>
        <v xml:space="preserve"> 8.0517</v>
      </c>
      <c r="Q553">
        <v>8.0517000000000003</v>
      </c>
      <c r="R553">
        <v>8</v>
      </c>
    </row>
    <row r="554" spans="1:18" x14ac:dyDescent="0.2">
      <c r="A554">
        <v>525</v>
      </c>
      <c r="B554" t="s">
        <v>156</v>
      </c>
      <c r="C554" t="s">
        <v>1767</v>
      </c>
      <c r="D554">
        <v>0.61599999999999999</v>
      </c>
      <c r="E554">
        <v>4</v>
      </c>
      <c r="F554" t="s">
        <v>682</v>
      </c>
      <c r="G554" t="s">
        <v>33</v>
      </c>
      <c r="H554" t="s">
        <v>40</v>
      </c>
      <c r="I554" t="s">
        <v>228</v>
      </c>
      <c r="J554" t="s">
        <v>1768</v>
      </c>
      <c r="L554" t="s">
        <v>2769</v>
      </c>
      <c r="N554" t="str">
        <f t="shared" si="7"/>
        <v xml:space="preserve"> 7.8721</v>
      </c>
      <c r="Q554">
        <v>7.8720999999999997</v>
      </c>
      <c r="R554">
        <v>4</v>
      </c>
    </row>
    <row r="555" spans="1:18" x14ac:dyDescent="0.2">
      <c r="A555">
        <v>526</v>
      </c>
      <c r="B555" t="s">
        <v>94</v>
      </c>
      <c r="C555" t="s">
        <v>1769</v>
      </c>
      <c r="D555">
        <v>-0.71499999999999997</v>
      </c>
      <c r="E555">
        <v>8</v>
      </c>
      <c r="F555" t="s">
        <v>1062</v>
      </c>
      <c r="G555" t="s">
        <v>64</v>
      </c>
      <c r="H555" t="s">
        <v>40</v>
      </c>
      <c r="I555" t="s">
        <v>165</v>
      </c>
      <c r="J555" t="s">
        <v>1770</v>
      </c>
      <c r="L555" t="s">
        <v>2770</v>
      </c>
      <c r="N555" t="str">
        <f t="shared" si="7"/>
        <v xml:space="preserve"> 9.8214</v>
      </c>
      <c r="Q555">
        <v>9.8214000000000006</v>
      </c>
      <c r="R555">
        <v>8</v>
      </c>
    </row>
    <row r="556" spans="1:18" x14ac:dyDescent="0.2">
      <c r="A556">
        <v>527</v>
      </c>
      <c r="B556" t="s">
        <v>37</v>
      </c>
      <c r="C556" t="s">
        <v>1771</v>
      </c>
      <c r="D556">
        <v>0.22900000000000001</v>
      </c>
      <c r="E556">
        <v>5</v>
      </c>
      <c r="F556" t="s">
        <v>711</v>
      </c>
      <c r="G556" t="s">
        <v>33</v>
      </c>
      <c r="H556" t="s">
        <v>40</v>
      </c>
      <c r="I556" t="s">
        <v>165</v>
      </c>
      <c r="J556" t="s">
        <v>1772</v>
      </c>
      <c r="L556" t="s">
        <v>2771</v>
      </c>
      <c r="N556" t="str">
        <f t="shared" si="7"/>
        <v xml:space="preserve"> 10.002</v>
      </c>
      <c r="Q556">
        <v>10.002000000000001</v>
      </c>
      <c r="R556">
        <v>5</v>
      </c>
    </row>
    <row r="557" spans="1:18" x14ac:dyDescent="0.2">
      <c r="A557">
        <v>528</v>
      </c>
      <c r="B557" t="s">
        <v>97</v>
      </c>
      <c r="C557" t="s">
        <v>1773</v>
      </c>
      <c r="D557">
        <v>-0.33600000000000002</v>
      </c>
      <c r="E557">
        <v>7</v>
      </c>
      <c r="F557" t="s">
        <v>901</v>
      </c>
      <c r="G557" t="s">
        <v>33</v>
      </c>
      <c r="H557" t="s">
        <v>40</v>
      </c>
      <c r="I557" t="s">
        <v>165</v>
      </c>
      <c r="J557" t="s">
        <v>1774</v>
      </c>
      <c r="L557" t="s">
        <v>2772</v>
      </c>
      <c r="N557" t="str">
        <f t="shared" si="7"/>
        <v xml:space="preserve"> 11.925</v>
      </c>
      <c r="Q557">
        <v>11.925000000000001</v>
      </c>
      <c r="R557">
        <v>7</v>
      </c>
    </row>
    <row r="558" spans="1:18" x14ac:dyDescent="0.2">
      <c r="A558">
        <v>529</v>
      </c>
      <c r="B558" t="s">
        <v>156</v>
      </c>
      <c r="C558" t="s">
        <v>1775</v>
      </c>
      <c r="D558">
        <v>-0.443</v>
      </c>
      <c r="E558">
        <v>7</v>
      </c>
      <c r="F558" t="s">
        <v>876</v>
      </c>
      <c r="G558" t="s">
        <v>64</v>
      </c>
      <c r="H558" t="s">
        <v>40</v>
      </c>
      <c r="I558" t="s">
        <v>165</v>
      </c>
      <c r="J558" t="s">
        <v>1776</v>
      </c>
      <c r="L558" t="s">
        <v>2773</v>
      </c>
      <c r="N558" t="str">
        <f t="shared" si="7"/>
        <v xml:space="preserve"> 12.894</v>
      </c>
      <c r="Q558">
        <v>12.894</v>
      </c>
      <c r="R558">
        <v>7</v>
      </c>
    </row>
    <row r="559" spans="1:18" x14ac:dyDescent="0.2">
      <c r="A559">
        <v>530</v>
      </c>
      <c r="B559" t="s">
        <v>113</v>
      </c>
      <c r="C559" t="s">
        <v>1777</v>
      </c>
      <c r="D559">
        <v>0.78100000000000003</v>
      </c>
      <c r="E559">
        <v>4</v>
      </c>
      <c r="F559" t="s">
        <v>759</v>
      </c>
      <c r="G559" t="s">
        <v>64</v>
      </c>
      <c r="H559" t="s">
        <v>40</v>
      </c>
      <c r="I559" t="s">
        <v>165</v>
      </c>
      <c r="J559" t="s">
        <v>1778</v>
      </c>
      <c r="L559" t="s">
        <v>2774</v>
      </c>
      <c r="N559" t="str">
        <f t="shared" si="7"/>
        <v xml:space="preserve"> 15.064</v>
      </c>
      <c r="Q559">
        <v>15.064</v>
      </c>
      <c r="R559">
        <v>4</v>
      </c>
    </row>
    <row r="560" spans="1:18" x14ac:dyDescent="0.2">
      <c r="A560">
        <v>531</v>
      </c>
      <c r="B560" t="s">
        <v>94</v>
      </c>
      <c r="C560" t="s">
        <v>1779</v>
      </c>
      <c r="D560">
        <v>-0.80600000000000005</v>
      </c>
      <c r="E560">
        <v>9</v>
      </c>
      <c r="F560" t="s">
        <v>1208</v>
      </c>
      <c r="G560" t="s">
        <v>64</v>
      </c>
      <c r="H560" t="s">
        <v>65</v>
      </c>
      <c r="I560" t="s">
        <v>165</v>
      </c>
      <c r="J560" t="s">
        <v>1780</v>
      </c>
      <c r="L560" t="s">
        <v>2775</v>
      </c>
      <c r="N560" t="str">
        <f t="shared" si="7"/>
        <v xml:space="preserve"> 15.947</v>
      </c>
      <c r="Q560">
        <v>15.946999999999999</v>
      </c>
      <c r="R560">
        <v>9</v>
      </c>
    </row>
    <row r="561" spans="1:18" x14ac:dyDescent="0.2">
      <c r="A561">
        <v>532</v>
      </c>
      <c r="B561" t="s">
        <v>37</v>
      </c>
      <c r="C561" t="s">
        <v>1781</v>
      </c>
      <c r="D561">
        <v>1.024</v>
      </c>
      <c r="E561">
        <v>4</v>
      </c>
      <c r="F561" t="s">
        <v>749</v>
      </c>
      <c r="G561" t="s">
        <v>33</v>
      </c>
      <c r="H561" t="s">
        <v>40</v>
      </c>
      <c r="I561" t="s">
        <v>165</v>
      </c>
      <c r="J561" t="s">
        <v>1782</v>
      </c>
      <c r="L561" t="s">
        <v>2776</v>
      </c>
      <c r="N561" t="str">
        <f t="shared" si="7"/>
        <v xml:space="preserve"> 18.339</v>
      </c>
      <c r="Q561">
        <v>18.338999999999999</v>
      </c>
      <c r="R561">
        <v>4</v>
      </c>
    </row>
    <row r="562" spans="1:18" x14ac:dyDescent="0.2">
      <c r="A562">
        <v>533</v>
      </c>
      <c r="B562" t="s">
        <v>37</v>
      </c>
      <c r="C562" t="s">
        <v>1783</v>
      </c>
      <c r="D562">
        <v>0.746</v>
      </c>
      <c r="E562">
        <v>4</v>
      </c>
      <c r="F562" t="s">
        <v>774</v>
      </c>
      <c r="G562" t="s">
        <v>33</v>
      </c>
      <c r="H562" t="s">
        <v>40</v>
      </c>
      <c r="I562" t="s">
        <v>165</v>
      </c>
      <c r="J562" t="s">
        <v>1784</v>
      </c>
      <c r="L562" t="s">
        <v>2777</v>
      </c>
      <c r="N562" t="str">
        <f t="shared" si="7"/>
        <v xml:space="preserve"> 19.709</v>
      </c>
      <c r="Q562">
        <v>19.709</v>
      </c>
      <c r="R562">
        <v>4</v>
      </c>
    </row>
    <row r="563" spans="1:18" x14ac:dyDescent="0.2">
      <c r="A563">
        <v>534</v>
      </c>
      <c r="B563" t="s">
        <v>233</v>
      </c>
      <c r="C563" t="s">
        <v>1785</v>
      </c>
      <c r="D563">
        <v>-0.58899999999999997</v>
      </c>
      <c r="E563">
        <v>8</v>
      </c>
      <c r="F563" t="s">
        <v>1327</v>
      </c>
      <c r="G563" t="s">
        <v>64</v>
      </c>
      <c r="H563" t="s">
        <v>40</v>
      </c>
      <c r="I563" t="s">
        <v>165</v>
      </c>
      <c r="J563" t="s">
        <v>1786</v>
      </c>
      <c r="L563" t="s">
        <v>2778</v>
      </c>
      <c r="N563" t="str">
        <f t="shared" si="7"/>
        <v xml:space="preserve"> 18.554</v>
      </c>
      <c r="Q563">
        <v>18.553999999999998</v>
      </c>
      <c r="R563">
        <v>8</v>
      </c>
    </row>
    <row r="564" spans="1:18" x14ac:dyDescent="0.2">
      <c r="A564">
        <v>535</v>
      </c>
      <c r="B564" t="s">
        <v>57</v>
      </c>
      <c r="C564" t="s">
        <v>1787</v>
      </c>
      <c r="D564">
        <v>1.1100000000000001</v>
      </c>
      <c r="E564">
        <v>3</v>
      </c>
      <c r="F564" t="s">
        <v>749</v>
      </c>
      <c r="G564" t="s">
        <v>64</v>
      </c>
      <c r="H564" t="s">
        <v>40</v>
      </c>
      <c r="I564" t="s">
        <v>469</v>
      </c>
      <c r="J564" t="s">
        <v>1788</v>
      </c>
      <c r="L564" t="s">
        <v>2779</v>
      </c>
      <c r="N564" t="str">
        <f t="shared" si="7"/>
        <v xml:space="preserve"> 18.546</v>
      </c>
      <c r="Q564">
        <v>18.545999999999999</v>
      </c>
      <c r="R564">
        <v>3</v>
      </c>
    </row>
    <row r="565" spans="1:18" x14ac:dyDescent="0.2">
      <c r="A565">
        <v>536</v>
      </c>
      <c r="B565" t="s">
        <v>94</v>
      </c>
      <c r="C565" t="s">
        <v>1789</v>
      </c>
      <c r="D565">
        <v>-0.80600000000000005</v>
      </c>
      <c r="E565">
        <v>9</v>
      </c>
      <c r="F565" t="s">
        <v>1208</v>
      </c>
      <c r="G565" t="s">
        <v>64</v>
      </c>
      <c r="H565" t="s">
        <v>65</v>
      </c>
      <c r="I565" t="s">
        <v>207</v>
      </c>
      <c r="J565" t="s">
        <v>1790</v>
      </c>
      <c r="L565" t="s">
        <v>2780</v>
      </c>
      <c r="N565" t="str">
        <f t="shared" si="7"/>
        <v xml:space="preserve"> 17.018</v>
      </c>
      <c r="Q565">
        <v>17.018000000000001</v>
      </c>
      <c r="R565">
        <v>9</v>
      </c>
    </row>
    <row r="566" spans="1:18" x14ac:dyDescent="0.2">
      <c r="A566">
        <v>537</v>
      </c>
      <c r="B566" t="s">
        <v>37</v>
      </c>
      <c r="C566" t="s">
        <v>1791</v>
      </c>
      <c r="D566">
        <v>-0.106</v>
      </c>
      <c r="E566">
        <v>6</v>
      </c>
      <c r="F566" t="s">
        <v>791</v>
      </c>
      <c r="G566" t="s">
        <v>33</v>
      </c>
      <c r="H566" t="s">
        <v>40</v>
      </c>
      <c r="I566" t="s">
        <v>165</v>
      </c>
      <c r="J566" t="s">
        <v>1792</v>
      </c>
      <c r="L566" t="s">
        <v>2781</v>
      </c>
      <c r="N566" t="str">
        <f t="shared" si="7"/>
        <v xml:space="preserve"> 17.815</v>
      </c>
      <c r="Q566">
        <v>17.815000000000001</v>
      </c>
      <c r="R566">
        <v>6</v>
      </c>
    </row>
    <row r="567" spans="1:18" x14ac:dyDescent="0.2">
      <c r="A567">
        <v>538</v>
      </c>
      <c r="B567" t="s">
        <v>97</v>
      </c>
      <c r="C567" t="s">
        <v>1793</v>
      </c>
      <c r="D567">
        <v>-0.214</v>
      </c>
      <c r="E567">
        <v>6</v>
      </c>
      <c r="F567" t="s">
        <v>726</v>
      </c>
      <c r="G567" t="s">
        <v>33</v>
      </c>
      <c r="H567" t="s">
        <v>40</v>
      </c>
      <c r="I567" t="s">
        <v>165</v>
      </c>
      <c r="J567" t="s">
        <v>1794</v>
      </c>
      <c r="L567" t="s">
        <v>2782</v>
      </c>
      <c r="N567" t="str">
        <f t="shared" si="7"/>
        <v xml:space="preserve"> 17.008</v>
      </c>
      <c r="Q567">
        <v>17.007999999999999</v>
      </c>
      <c r="R567">
        <v>6</v>
      </c>
    </row>
    <row r="568" spans="1:18" x14ac:dyDescent="0.2">
      <c r="A568">
        <v>539</v>
      </c>
      <c r="B568" t="s">
        <v>118</v>
      </c>
      <c r="C568" t="s">
        <v>1795</v>
      </c>
      <c r="D568">
        <v>-0.13</v>
      </c>
      <c r="E568">
        <v>6</v>
      </c>
      <c r="F568" t="s">
        <v>1030</v>
      </c>
      <c r="G568" t="s">
        <v>64</v>
      </c>
      <c r="H568" t="s">
        <v>40</v>
      </c>
      <c r="I568" t="s">
        <v>165</v>
      </c>
      <c r="J568" t="s">
        <v>1796</v>
      </c>
      <c r="L568" t="s">
        <v>2783</v>
      </c>
      <c r="N568" t="str">
        <f t="shared" si="7"/>
        <v xml:space="preserve"> 15.249</v>
      </c>
      <c r="Q568">
        <v>15.249000000000001</v>
      </c>
      <c r="R568">
        <v>6</v>
      </c>
    </row>
    <row r="569" spans="1:18" x14ac:dyDescent="0.2">
      <c r="A569">
        <v>540</v>
      </c>
      <c r="B569" t="s">
        <v>108</v>
      </c>
      <c r="C569" t="s">
        <v>1797</v>
      </c>
      <c r="D569">
        <v>-7.3999999999999996E-2</v>
      </c>
      <c r="E569">
        <v>5</v>
      </c>
      <c r="F569" t="s">
        <v>701</v>
      </c>
      <c r="G569" t="s">
        <v>33</v>
      </c>
      <c r="H569" t="s">
        <v>40</v>
      </c>
      <c r="I569" t="s">
        <v>165</v>
      </c>
      <c r="J569" t="s">
        <v>1798</v>
      </c>
      <c r="L569" t="s">
        <v>2784</v>
      </c>
      <c r="N569" t="str">
        <f t="shared" si="7"/>
        <v xml:space="preserve"> 13.526</v>
      </c>
      <c r="Q569">
        <v>13.526</v>
      </c>
      <c r="R569">
        <v>5</v>
      </c>
    </row>
    <row r="570" spans="1:18" x14ac:dyDescent="0.2">
      <c r="A570">
        <v>541</v>
      </c>
      <c r="B570" t="s">
        <v>156</v>
      </c>
      <c r="C570" t="s">
        <v>1799</v>
      </c>
      <c r="D570">
        <v>-0.63500000000000001</v>
      </c>
      <c r="E570">
        <v>8</v>
      </c>
      <c r="F570" t="s">
        <v>1800</v>
      </c>
      <c r="G570" t="s">
        <v>33</v>
      </c>
      <c r="H570" t="s">
        <v>34</v>
      </c>
      <c r="I570" t="s">
        <v>165</v>
      </c>
      <c r="J570" t="s">
        <v>1801</v>
      </c>
      <c r="L570" t="s">
        <v>2785</v>
      </c>
      <c r="N570" t="str">
        <f t="shared" si="7"/>
        <v xml:space="preserve"> 11.256</v>
      </c>
      <c r="Q570">
        <v>11.256</v>
      </c>
      <c r="R570">
        <v>8</v>
      </c>
    </row>
    <row r="571" spans="1:18" x14ac:dyDescent="0.2">
      <c r="A571">
        <v>542</v>
      </c>
      <c r="B571" t="s">
        <v>156</v>
      </c>
      <c r="C571" t="s">
        <v>1802</v>
      </c>
      <c r="D571">
        <v>0.51200000000000001</v>
      </c>
      <c r="E571">
        <v>4</v>
      </c>
      <c r="F571" t="s">
        <v>1803</v>
      </c>
      <c r="G571" t="s">
        <v>64</v>
      </c>
      <c r="H571" t="s">
        <v>40</v>
      </c>
      <c r="I571" t="s">
        <v>165</v>
      </c>
      <c r="J571" t="s">
        <v>1804</v>
      </c>
      <c r="L571" t="s">
        <v>2786</v>
      </c>
      <c r="N571" t="str">
        <f t="shared" si="7"/>
        <v xml:space="preserve"> 9.2855</v>
      </c>
      <c r="Q571">
        <v>9.2855000000000008</v>
      </c>
      <c r="R571">
        <v>4</v>
      </c>
    </row>
    <row r="572" spans="1:18" x14ac:dyDescent="0.2">
      <c r="A572">
        <v>543</v>
      </c>
      <c r="B572" t="s">
        <v>194</v>
      </c>
      <c r="C572" t="s">
        <v>1805</v>
      </c>
      <c r="D572">
        <v>0.76400000000000001</v>
      </c>
      <c r="E572">
        <v>4</v>
      </c>
      <c r="F572" t="s">
        <v>774</v>
      </c>
      <c r="G572" t="s">
        <v>33</v>
      </c>
      <c r="H572" t="s">
        <v>40</v>
      </c>
      <c r="I572" t="s">
        <v>165</v>
      </c>
      <c r="J572" t="s">
        <v>1806</v>
      </c>
      <c r="L572" t="s">
        <v>2787</v>
      </c>
      <c r="N572" t="str">
        <f t="shared" si="7"/>
        <v xml:space="preserve"> 6.7444</v>
      </c>
      <c r="Q572">
        <v>6.7443999999999997</v>
      </c>
      <c r="R572">
        <v>4</v>
      </c>
    </row>
    <row r="573" spans="1:18" x14ac:dyDescent="0.2">
      <c r="A573">
        <v>544</v>
      </c>
      <c r="B573" t="s">
        <v>108</v>
      </c>
      <c r="C573" t="s">
        <v>1807</v>
      </c>
      <c r="D573">
        <v>-0.47299999999999998</v>
      </c>
      <c r="E573">
        <v>7</v>
      </c>
      <c r="F573" t="s">
        <v>1187</v>
      </c>
      <c r="G573" t="s">
        <v>33</v>
      </c>
      <c r="H573" t="s">
        <v>40</v>
      </c>
      <c r="I573" t="s">
        <v>165</v>
      </c>
      <c r="J573" t="s">
        <v>1808</v>
      </c>
      <c r="L573" t="s">
        <v>2788</v>
      </c>
      <c r="N573" t="str">
        <f t="shared" si="7"/>
        <v xml:space="preserve"> 7.7229</v>
      </c>
      <c r="Q573">
        <v>7.7229000000000001</v>
      </c>
      <c r="R573">
        <v>7</v>
      </c>
    </row>
    <row r="574" spans="1:18" x14ac:dyDescent="0.2">
      <c r="A574">
        <v>545</v>
      </c>
      <c r="B574" t="s">
        <v>94</v>
      </c>
      <c r="C574" t="s">
        <v>1809</v>
      </c>
      <c r="D574">
        <v>3.0169999999999999</v>
      </c>
      <c r="E574">
        <v>1</v>
      </c>
      <c r="F574" t="s">
        <v>828</v>
      </c>
      <c r="G574" t="s">
        <v>64</v>
      </c>
      <c r="H574" t="s">
        <v>40</v>
      </c>
      <c r="I574" t="s">
        <v>165</v>
      </c>
      <c r="J574" t="s">
        <v>1810</v>
      </c>
      <c r="L574" t="s">
        <v>2789</v>
      </c>
      <c r="N574" t="str">
        <f t="shared" si="7"/>
        <v xml:space="preserve"> 7.1581</v>
      </c>
      <c r="Q574">
        <v>7.1581000000000001</v>
      </c>
      <c r="R574">
        <v>1</v>
      </c>
    </row>
    <row r="575" spans="1:18" x14ac:dyDescent="0.2">
      <c r="A575">
        <v>546</v>
      </c>
      <c r="B575" t="s">
        <v>94</v>
      </c>
      <c r="C575" t="s">
        <v>1811</v>
      </c>
      <c r="D575">
        <v>-0.80600000000000005</v>
      </c>
      <c r="E575">
        <v>9</v>
      </c>
      <c r="F575" t="s">
        <v>1208</v>
      </c>
      <c r="G575" t="s">
        <v>64</v>
      </c>
      <c r="H575" t="s">
        <v>65</v>
      </c>
      <c r="I575" t="s">
        <v>207</v>
      </c>
      <c r="J575" t="s">
        <v>1812</v>
      </c>
      <c r="L575" t="s">
        <v>2790</v>
      </c>
      <c r="N575" t="str">
        <f t="shared" si="7"/>
        <v xml:space="preserve"> 8.9692</v>
      </c>
      <c r="Q575">
        <v>8.9692000000000007</v>
      </c>
      <c r="R575">
        <v>9</v>
      </c>
    </row>
    <row r="576" spans="1:18" x14ac:dyDescent="0.2">
      <c r="A576">
        <v>547</v>
      </c>
      <c r="B576" t="s">
        <v>123</v>
      </c>
      <c r="C576" t="s">
        <v>1813</v>
      </c>
      <c r="D576">
        <v>0.82799999999999996</v>
      </c>
      <c r="E576">
        <v>4</v>
      </c>
      <c r="F576" t="s">
        <v>759</v>
      </c>
      <c r="G576" t="s">
        <v>33</v>
      </c>
      <c r="H576" t="s">
        <v>40</v>
      </c>
      <c r="I576" t="s">
        <v>207</v>
      </c>
      <c r="J576" t="s">
        <v>1814</v>
      </c>
      <c r="L576" t="s">
        <v>2791</v>
      </c>
      <c r="N576" t="str">
        <f t="shared" si="7"/>
        <v xml:space="preserve"> 8.5732</v>
      </c>
      <c r="Q576">
        <v>8.5731999999999999</v>
      </c>
      <c r="R576">
        <v>4</v>
      </c>
    </row>
    <row r="577" spans="1:18" x14ac:dyDescent="0.2">
      <c r="A577">
        <v>548</v>
      </c>
      <c r="B577" t="s">
        <v>194</v>
      </c>
      <c r="C577" t="s">
        <v>1815</v>
      </c>
      <c r="D577">
        <v>-0.68700000000000006</v>
      </c>
      <c r="E577">
        <v>8</v>
      </c>
      <c r="F577" t="s">
        <v>1224</v>
      </c>
      <c r="G577" t="s">
        <v>33</v>
      </c>
      <c r="H577" t="s">
        <v>34</v>
      </c>
      <c r="I577" t="s">
        <v>207</v>
      </c>
      <c r="J577" t="s">
        <v>1816</v>
      </c>
      <c r="L577" t="s">
        <v>2792</v>
      </c>
      <c r="N577" t="str">
        <f t="shared" si="7"/>
        <v xml:space="preserve"> 10.781</v>
      </c>
      <c r="Q577">
        <v>10.781000000000001</v>
      </c>
      <c r="R577">
        <v>8</v>
      </c>
    </row>
    <row r="578" spans="1:18" x14ac:dyDescent="0.2">
      <c r="A578">
        <v>549</v>
      </c>
      <c r="B578" t="s">
        <v>233</v>
      </c>
      <c r="C578" t="s">
        <v>1817</v>
      </c>
      <c r="D578">
        <v>-0.78500000000000003</v>
      </c>
      <c r="E578">
        <v>9</v>
      </c>
      <c r="F578" t="s">
        <v>1818</v>
      </c>
      <c r="G578" t="s">
        <v>64</v>
      </c>
      <c r="H578" t="s">
        <v>65</v>
      </c>
      <c r="I578" t="s">
        <v>207</v>
      </c>
      <c r="J578" t="s">
        <v>1819</v>
      </c>
      <c r="L578" t="s">
        <v>2793</v>
      </c>
      <c r="N578" t="str">
        <f t="shared" si="7"/>
        <v xml:space="preserve"> 12.211</v>
      </c>
      <c r="Q578">
        <v>12.211</v>
      </c>
      <c r="R578">
        <v>9</v>
      </c>
    </row>
    <row r="579" spans="1:18" x14ac:dyDescent="0.2">
      <c r="A579">
        <v>550</v>
      </c>
      <c r="B579" t="s">
        <v>108</v>
      </c>
      <c r="C579" t="s">
        <v>1820</v>
      </c>
      <c r="D579">
        <v>-0.56200000000000006</v>
      </c>
      <c r="E579">
        <v>8</v>
      </c>
      <c r="F579" t="s">
        <v>924</v>
      </c>
      <c r="G579" t="s">
        <v>33</v>
      </c>
      <c r="H579" t="s">
        <v>34</v>
      </c>
      <c r="I579" t="s">
        <v>207</v>
      </c>
      <c r="J579" t="s">
        <v>1821</v>
      </c>
      <c r="L579" t="s">
        <v>2794</v>
      </c>
      <c r="N579" t="str">
        <f t="shared" si="7"/>
        <v xml:space="preserve"> 14.594</v>
      </c>
      <c r="Q579">
        <v>14.593999999999999</v>
      </c>
      <c r="R579">
        <v>8</v>
      </c>
    </row>
    <row r="580" spans="1:18" x14ac:dyDescent="0.2">
      <c r="A580">
        <v>551</v>
      </c>
      <c r="B580" t="s">
        <v>94</v>
      </c>
      <c r="C580" t="s">
        <v>1822</v>
      </c>
      <c r="D580">
        <v>4.8000000000000001E-2</v>
      </c>
      <c r="E580">
        <v>5</v>
      </c>
      <c r="F580" t="s">
        <v>696</v>
      </c>
      <c r="G580" t="s">
        <v>64</v>
      </c>
      <c r="H580" t="s">
        <v>40</v>
      </c>
      <c r="I580" t="s">
        <v>207</v>
      </c>
      <c r="J580" t="s">
        <v>1823</v>
      </c>
      <c r="L580" t="s">
        <v>2795</v>
      </c>
      <c r="N580" t="str">
        <f t="shared" si="7"/>
        <v xml:space="preserve"> 15.436</v>
      </c>
      <c r="Q580">
        <v>15.436</v>
      </c>
      <c r="R580">
        <v>5</v>
      </c>
    </row>
    <row r="581" spans="1:18" x14ac:dyDescent="0.2">
      <c r="A581">
        <v>552</v>
      </c>
      <c r="B581" t="s">
        <v>142</v>
      </c>
      <c r="C581" t="s">
        <v>1824</v>
      </c>
      <c r="D581">
        <v>1.2869999999999999</v>
      </c>
      <c r="E581">
        <v>3</v>
      </c>
      <c r="F581" t="s">
        <v>687</v>
      </c>
      <c r="G581" t="s">
        <v>33</v>
      </c>
      <c r="H581" t="s">
        <v>40</v>
      </c>
      <c r="I581" t="s">
        <v>207</v>
      </c>
      <c r="J581" t="s">
        <v>1825</v>
      </c>
      <c r="L581" t="s">
        <v>2796</v>
      </c>
      <c r="N581" t="str">
        <f t="shared" si="7"/>
        <v xml:space="preserve"> 17.926</v>
      </c>
      <c r="Q581">
        <v>17.925999999999998</v>
      </c>
      <c r="R581">
        <v>3</v>
      </c>
    </row>
    <row r="582" spans="1:18" x14ac:dyDescent="0.2">
      <c r="A582">
        <v>553</v>
      </c>
      <c r="B582" t="s">
        <v>194</v>
      </c>
      <c r="C582" t="s">
        <v>1826</v>
      </c>
      <c r="D582">
        <v>1.095</v>
      </c>
      <c r="E582">
        <v>3</v>
      </c>
      <c r="F582" t="s">
        <v>749</v>
      </c>
      <c r="G582" t="s">
        <v>33</v>
      </c>
      <c r="H582" t="s">
        <v>40</v>
      </c>
      <c r="I582" t="s">
        <v>207</v>
      </c>
      <c r="J582" t="s">
        <v>1827</v>
      </c>
      <c r="L582" t="s">
        <v>2797</v>
      </c>
      <c r="N582" t="str">
        <f t="shared" si="7"/>
        <v xml:space="preserve"> 19.075</v>
      </c>
      <c r="Q582">
        <v>19.074999999999999</v>
      </c>
      <c r="R582">
        <v>3</v>
      </c>
    </row>
    <row r="583" spans="1:18" x14ac:dyDescent="0.2">
      <c r="A583">
        <v>554</v>
      </c>
      <c r="B583" t="s">
        <v>108</v>
      </c>
      <c r="C583" t="s">
        <v>1828</v>
      </c>
      <c r="D583">
        <v>-7.6999999999999999E-2</v>
      </c>
      <c r="E583">
        <v>5</v>
      </c>
      <c r="F583" t="s">
        <v>701</v>
      </c>
      <c r="G583" t="s">
        <v>64</v>
      </c>
      <c r="H583" t="s">
        <v>40</v>
      </c>
      <c r="I583" t="s">
        <v>207</v>
      </c>
      <c r="J583" t="s">
        <v>1829</v>
      </c>
      <c r="L583" t="s">
        <v>2798</v>
      </c>
      <c r="N583" t="str">
        <f t="shared" ref="N583:N646" si="8">RIGHT((LEFT(L583,11)),7)</f>
        <v xml:space="preserve"> 17.549</v>
      </c>
      <c r="Q583">
        <v>17.548999999999999</v>
      </c>
      <c r="R583">
        <v>5</v>
      </c>
    </row>
    <row r="584" spans="1:18" x14ac:dyDescent="0.2">
      <c r="A584">
        <v>555</v>
      </c>
      <c r="B584" t="s">
        <v>118</v>
      </c>
      <c r="C584" t="s">
        <v>1830</v>
      </c>
      <c r="D584">
        <v>2.7029999999999998</v>
      </c>
      <c r="E584">
        <v>1</v>
      </c>
      <c r="F584" t="s">
        <v>684</v>
      </c>
      <c r="G584" t="s">
        <v>64</v>
      </c>
      <c r="H584" t="s">
        <v>40</v>
      </c>
      <c r="I584" t="s">
        <v>207</v>
      </c>
      <c r="J584" t="s">
        <v>1831</v>
      </c>
      <c r="L584" t="s">
        <v>2799</v>
      </c>
      <c r="N584" t="str">
        <f t="shared" si="8"/>
        <v xml:space="preserve"> 18.012</v>
      </c>
      <c r="Q584">
        <v>18.012</v>
      </c>
      <c r="R584">
        <v>1</v>
      </c>
    </row>
    <row r="585" spans="1:18" x14ac:dyDescent="0.2">
      <c r="A585">
        <v>556</v>
      </c>
      <c r="B585" t="s">
        <v>94</v>
      </c>
      <c r="C585" t="s">
        <v>1832</v>
      </c>
      <c r="D585">
        <v>-0.621</v>
      </c>
      <c r="E585">
        <v>8</v>
      </c>
      <c r="F585" t="s">
        <v>906</v>
      </c>
      <c r="G585" t="s">
        <v>64</v>
      </c>
      <c r="H585" t="s">
        <v>40</v>
      </c>
      <c r="I585" t="s">
        <v>207</v>
      </c>
      <c r="J585" t="s">
        <v>1833</v>
      </c>
      <c r="L585" t="s">
        <v>2800</v>
      </c>
      <c r="N585" t="str">
        <f t="shared" si="8"/>
        <v xml:space="preserve"> 16.646</v>
      </c>
      <c r="Q585">
        <v>16.646000000000001</v>
      </c>
      <c r="R585">
        <v>8</v>
      </c>
    </row>
    <row r="586" spans="1:18" x14ac:dyDescent="0.2">
      <c r="A586">
        <v>557</v>
      </c>
      <c r="B586" t="s">
        <v>57</v>
      </c>
      <c r="C586" t="s">
        <v>1834</v>
      </c>
      <c r="D586">
        <v>0.94099999999999995</v>
      </c>
      <c r="E586">
        <v>4</v>
      </c>
      <c r="F586" t="s">
        <v>759</v>
      </c>
      <c r="G586" t="s">
        <v>33</v>
      </c>
      <c r="H586" t="s">
        <v>40</v>
      </c>
      <c r="I586" t="s">
        <v>207</v>
      </c>
      <c r="J586" t="s">
        <v>1835</v>
      </c>
      <c r="L586" t="s">
        <v>2801</v>
      </c>
      <c r="N586" t="str">
        <f t="shared" si="8"/>
        <v xml:space="preserve"> 17.778</v>
      </c>
      <c r="Q586">
        <v>17.777999999999999</v>
      </c>
      <c r="R586">
        <v>4</v>
      </c>
    </row>
    <row r="587" spans="1:18" x14ac:dyDescent="0.2">
      <c r="A587">
        <v>558</v>
      </c>
      <c r="B587" t="s">
        <v>194</v>
      </c>
      <c r="C587" t="s">
        <v>1836</v>
      </c>
      <c r="D587">
        <v>-0.48799999999999999</v>
      </c>
      <c r="E587">
        <v>7</v>
      </c>
      <c r="F587" t="s">
        <v>1837</v>
      </c>
      <c r="G587" t="s">
        <v>33</v>
      </c>
      <c r="H587" t="s">
        <v>40</v>
      </c>
      <c r="I587" t="s">
        <v>207</v>
      </c>
      <c r="J587" t="s">
        <v>1838</v>
      </c>
      <c r="L587" t="s">
        <v>2802</v>
      </c>
      <c r="N587" t="str">
        <f t="shared" si="8"/>
        <v xml:space="preserve"> 17.005</v>
      </c>
      <c r="Q587">
        <v>17.004999999999999</v>
      </c>
      <c r="R587">
        <v>7</v>
      </c>
    </row>
    <row r="588" spans="1:18" x14ac:dyDescent="0.2">
      <c r="A588">
        <v>559</v>
      </c>
      <c r="B588" t="s">
        <v>108</v>
      </c>
      <c r="C588" t="s">
        <v>1839</v>
      </c>
      <c r="D588">
        <v>-0.7</v>
      </c>
      <c r="E588">
        <v>8</v>
      </c>
      <c r="F588" t="s">
        <v>1224</v>
      </c>
      <c r="G588" t="s">
        <v>64</v>
      </c>
      <c r="H588" t="s">
        <v>40</v>
      </c>
      <c r="I588" t="s">
        <v>165</v>
      </c>
      <c r="J588" t="s">
        <v>1840</v>
      </c>
      <c r="L588" t="s">
        <v>2803</v>
      </c>
      <c r="N588" t="str">
        <f t="shared" si="8"/>
        <v xml:space="preserve"> 15.234</v>
      </c>
      <c r="Q588">
        <v>15.234</v>
      </c>
      <c r="R588">
        <v>8</v>
      </c>
    </row>
    <row r="589" spans="1:18" x14ac:dyDescent="0.2">
      <c r="A589">
        <v>560</v>
      </c>
      <c r="B589" t="s">
        <v>97</v>
      </c>
      <c r="C589" t="s">
        <v>1841</v>
      </c>
      <c r="D589">
        <v>-0.57299999999999995</v>
      </c>
      <c r="E589">
        <v>8</v>
      </c>
      <c r="F589" t="s">
        <v>924</v>
      </c>
      <c r="G589" t="s">
        <v>33</v>
      </c>
      <c r="H589" t="s">
        <v>34</v>
      </c>
      <c r="I589" t="s">
        <v>165</v>
      </c>
      <c r="J589" t="s">
        <v>1842</v>
      </c>
      <c r="L589" t="s">
        <v>2804</v>
      </c>
      <c r="N589" t="str">
        <f t="shared" si="8"/>
        <v xml:space="preserve"> 13.211</v>
      </c>
      <c r="Q589">
        <v>13.211</v>
      </c>
      <c r="R589">
        <v>8</v>
      </c>
    </row>
    <row r="590" spans="1:18" x14ac:dyDescent="0.2">
      <c r="A590">
        <v>561</v>
      </c>
      <c r="B590" t="s">
        <v>113</v>
      </c>
      <c r="C590" t="s">
        <v>1843</v>
      </c>
      <c r="D590">
        <v>0.192</v>
      </c>
      <c r="E590">
        <v>5</v>
      </c>
      <c r="F590" t="s">
        <v>711</v>
      </c>
      <c r="G590" t="s">
        <v>64</v>
      </c>
      <c r="H590" t="s">
        <v>40</v>
      </c>
      <c r="I590" t="s">
        <v>207</v>
      </c>
      <c r="J590" t="s">
        <v>1844</v>
      </c>
      <c r="L590" t="s">
        <v>2805</v>
      </c>
      <c r="N590" t="str">
        <f t="shared" si="8"/>
        <v xml:space="preserve"> 12.419</v>
      </c>
      <c r="Q590">
        <v>12.419</v>
      </c>
      <c r="R590">
        <v>5</v>
      </c>
    </row>
    <row r="591" spans="1:18" x14ac:dyDescent="0.2">
      <c r="A591">
        <v>562</v>
      </c>
      <c r="B591" t="s">
        <v>94</v>
      </c>
      <c r="C591" t="s">
        <v>1845</v>
      </c>
      <c r="D591">
        <v>1.135</v>
      </c>
      <c r="E591">
        <v>3</v>
      </c>
      <c r="F591" t="s">
        <v>764</v>
      </c>
      <c r="G591" t="s">
        <v>33</v>
      </c>
      <c r="H591" t="s">
        <v>40</v>
      </c>
      <c r="I591" t="s">
        <v>165</v>
      </c>
      <c r="J591" t="s">
        <v>1846</v>
      </c>
      <c r="L591" t="s">
        <v>2806</v>
      </c>
      <c r="N591" t="str">
        <f t="shared" si="8"/>
        <v xml:space="preserve"> 11.588</v>
      </c>
      <c r="Q591">
        <v>11.587999999999999</v>
      </c>
      <c r="R591">
        <v>3</v>
      </c>
    </row>
    <row r="592" spans="1:18" x14ac:dyDescent="0.2">
      <c r="A592">
        <v>563</v>
      </c>
      <c r="B592" t="s">
        <v>37</v>
      </c>
      <c r="C592" t="s">
        <v>1847</v>
      </c>
      <c r="D592">
        <v>3.0579999999999998</v>
      </c>
      <c r="E592">
        <v>1</v>
      </c>
      <c r="F592" t="s">
        <v>828</v>
      </c>
      <c r="G592" t="s">
        <v>33</v>
      </c>
      <c r="H592" t="s">
        <v>40</v>
      </c>
      <c r="I592" t="s">
        <v>165</v>
      </c>
      <c r="J592" t="s">
        <v>1848</v>
      </c>
      <c r="L592" t="s">
        <v>2807</v>
      </c>
      <c r="N592" t="str">
        <f t="shared" si="8"/>
        <v xml:space="preserve"> 10.995</v>
      </c>
      <c r="Q592">
        <v>10.994999999999999</v>
      </c>
      <c r="R592">
        <v>1</v>
      </c>
    </row>
    <row r="593" spans="1:18" x14ac:dyDescent="0.2">
      <c r="A593">
        <v>564</v>
      </c>
      <c r="B593" t="s">
        <v>57</v>
      </c>
      <c r="C593" t="s">
        <v>1849</v>
      </c>
      <c r="D593">
        <v>1.4790000000000001</v>
      </c>
      <c r="E593">
        <v>3</v>
      </c>
      <c r="F593" t="s">
        <v>687</v>
      </c>
      <c r="G593" t="s">
        <v>64</v>
      </c>
      <c r="H593" t="s">
        <v>40</v>
      </c>
      <c r="I593" t="s">
        <v>165</v>
      </c>
      <c r="J593" t="s">
        <v>1850</v>
      </c>
      <c r="L593" t="s">
        <v>2808</v>
      </c>
      <c r="N593" t="str">
        <f t="shared" si="8"/>
        <v xml:space="preserve"> 7.9230</v>
      </c>
      <c r="Q593">
        <v>7.923</v>
      </c>
      <c r="R593">
        <v>3</v>
      </c>
    </row>
    <row r="594" spans="1:18" x14ac:dyDescent="0.2">
      <c r="A594">
        <v>565</v>
      </c>
      <c r="B594" t="s">
        <v>74</v>
      </c>
      <c r="C594" t="s">
        <v>1851</v>
      </c>
      <c r="D594">
        <v>-0.251</v>
      </c>
      <c r="E594">
        <v>6</v>
      </c>
      <c r="F594" t="s">
        <v>723</v>
      </c>
      <c r="G594" t="s">
        <v>33</v>
      </c>
      <c r="H594" t="s">
        <v>40</v>
      </c>
      <c r="I594" t="s">
        <v>165</v>
      </c>
      <c r="J594" t="s">
        <v>1852</v>
      </c>
      <c r="L594" t="s">
        <v>2809</v>
      </c>
      <c r="N594" t="str">
        <f t="shared" si="8"/>
        <v xml:space="preserve"> 8.1664</v>
      </c>
      <c r="Q594">
        <v>8.1663999999999994</v>
      </c>
      <c r="R594">
        <v>6</v>
      </c>
    </row>
    <row r="595" spans="1:18" x14ac:dyDescent="0.2">
      <c r="A595">
        <v>566</v>
      </c>
      <c r="B595" t="s">
        <v>94</v>
      </c>
      <c r="C595" t="s">
        <v>1853</v>
      </c>
      <c r="D595">
        <v>0.216</v>
      </c>
      <c r="E595">
        <v>5</v>
      </c>
      <c r="F595" t="s">
        <v>711</v>
      </c>
      <c r="G595" t="s">
        <v>64</v>
      </c>
      <c r="H595" t="s">
        <v>40</v>
      </c>
      <c r="I595" t="s">
        <v>165</v>
      </c>
      <c r="J595" t="s">
        <v>1854</v>
      </c>
      <c r="L595" t="s">
        <v>2810</v>
      </c>
      <c r="N595" t="str">
        <f t="shared" si="8"/>
        <v xml:space="preserve"> 9.4838</v>
      </c>
      <c r="Q595">
        <v>9.4838000000000005</v>
      </c>
      <c r="R595">
        <v>5</v>
      </c>
    </row>
    <row r="596" spans="1:18" x14ac:dyDescent="0.2">
      <c r="A596">
        <v>567</v>
      </c>
      <c r="B596" t="s">
        <v>118</v>
      </c>
      <c r="C596" t="s">
        <v>1855</v>
      </c>
      <c r="D596">
        <v>0.66300000000000003</v>
      </c>
      <c r="E596">
        <v>4</v>
      </c>
      <c r="F596" t="s">
        <v>682</v>
      </c>
      <c r="G596" t="s">
        <v>64</v>
      </c>
      <c r="H596" t="s">
        <v>40</v>
      </c>
      <c r="I596" t="s">
        <v>165</v>
      </c>
      <c r="J596" t="s">
        <v>1856</v>
      </c>
      <c r="L596" t="s">
        <v>2811</v>
      </c>
      <c r="N596" t="str">
        <f t="shared" si="8"/>
        <v xml:space="preserve"> 9.4923</v>
      </c>
      <c r="Q596">
        <v>9.4923000000000002</v>
      </c>
      <c r="R596">
        <v>4</v>
      </c>
    </row>
    <row r="597" spans="1:18" x14ac:dyDescent="0.2">
      <c r="A597">
        <v>568</v>
      </c>
      <c r="B597" t="s">
        <v>194</v>
      </c>
      <c r="C597" t="s">
        <v>1857</v>
      </c>
      <c r="D597">
        <v>1.5369999999999999</v>
      </c>
      <c r="E597">
        <v>3</v>
      </c>
      <c r="F597" t="s">
        <v>687</v>
      </c>
      <c r="G597" t="s">
        <v>33</v>
      </c>
      <c r="H597" t="s">
        <v>40</v>
      </c>
      <c r="I597" t="s">
        <v>228</v>
      </c>
      <c r="J597" t="s">
        <v>1858</v>
      </c>
      <c r="L597" t="s">
        <v>2812</v>
      </c>
      <c r="N597" t="str">
        <f t="shared" si="8"/>
        <v xml:space="preserve"> 9.8926</v>
      </c>
      <c r="Q597">
        <v>9.8925999999999998</v>
      </c>
      <c r="R597">
        <v>3</v>
      </c>
    </row>
    <row r="598" spans="1:18" x14ac:dyDescent="0.2">
      <c r="A598">
        <v>569</v>
      </c>
      <c r="B598" t="s">
        <v>156</v>
      </c>
      <c r="C598" t="s">
        <v>1859</v>
      </c>
      <c r="D598">
        <v>0.22700000000000001</v>
      </c>
      <c r="E598">
        <v>5</v>
      </c>
      <c r="F598" t="s">
        <v>783</v>
      </c>
      <c r="G598" t="s">
        <v>64</v>
      </c>
      <c r="H598" t="s">
        <v>40</v>
      </c>
      <c r="I598" t="s">
        <v>165</v>
      </c>
      <c r="J598" t="s">
        <v>1860</v>
      </c>
      <c r="L598" t="s">
        <v>2813</v>
      </c>
      <c r="N598" t="str">
        <f t="shared" si="8"/>
        <v xml:space="preserve"> 11.616</v>
      </c>
      <c r="Q598">
        <v>11.616</v>
      </c>
      <c r="R598">
        <v>5</v>
      </c>
    </row>
    <row r="599" spans="1:18" x14ac:dyDescent="0.2">
      <c r="A599">
        <v>570</v>
      </c>
      <c r="B599" t="s">
        <v>123</v>
      </c>
      <c r="C599" t="s">
        <v>1861</v>
      </c>
      <c r="D599">
        <v>3.0609999999999999</v>
      </c>
      <c r="E599">
        <v>1</v>
      </c>
      <c r="F599" t="s">
        <v>828</v>
      </c>
      <c r="G599" t="s">
        <v>33</v>
      </c>
      <c r="H599" t="s">
        <v>40</v>
      </c>
      <c r="I599" t="s">
        <v>165</v>
      </c>
      <c r="J599" t="s">
        <v>1862</v>
      </c>
      <c r="L599" t="s">
        <v>2814</v>
      </c>
      <c r="N599" t="str">
        <f t="shared" si="8"/>
        <v xml:space="preserve"> 13.811</v>
      </c>
      <c r="Q599">
        <v>13.811</v>
      </c>
      <c r="R599">
        <v>1</v>
      </c>
    </row>
    <row r="600" spans="1:18" x14ac:dyDescent="0.2">
      <c r="A600">
        <v>571</v>
      </c>
      <c r="B600" t="s">
        <v>113</v>
      </c>
      <c r="C600" t="s">
        <v>1863</v>
      </c>
      <c r="D600">
        <v>0.59799999999999998</v>
      </c>
      <c r="E600">
        <v>4</v>
      </c>
      <c r="F600" t="s">
        <v>682</v>
      </c>
      <c r="G600" t="s">
        <v>64</v>
      </c>
      <c r="H600" t="s">
        <v>40</v>
      </c>
      <c r="I600" t="s">
        <v>165</v>
      </c>
      <c r="J600" t="s">
        <v>1864</v>
      </c>
      <c r="L600" t="s">
        <v>2815</v>
      </c>
      <c r="N600" t="str">
        <f t="shared" si="8"/>
        <v xml:space="preserve"> 14.758</v>
      </c>
      <c r="Q600">
        <v>14.757999999999999</v>
      </c>
      <c r="R600">
        <v>4</v>
      </c>
    </row>
    <row r="601" spans="1:18" x14ac:dyDescent="0.2">
      <c r="A601">
        <v>572</v>
      </c>
      <c r="B601" t="s">
        <v>142</v>
      </c>
      <c r="C601" t="s">
        <v>1865</v>
      </c>
      <c r="D601">
        <v>1.464</v>
      </c>
      <c r="E601">
        <v>3</v>
      </c>
      <c r="F601" t="s">
        <v>687</v>
      </c>
      <c r="G601" t="s">
        <v>33</v>
      </c>
      <c r="H601" t="s">
        <v>40</v>
      </c>
      <c r="I601" t="s">
        <v>165</v>
      </c>
      <c r="J601" t="s">
        <v>1866</v>
      </c>
      <c r="L601" t="s">
        <v>2816</v>
      </c>
      <c r="N601" t="str">
        <f t="shared" si="8"/>
        <v xml:space="preserve"> 17.126</v>
      </c>
      <c r="Q601">
        <v>17.126000000000001</v>
      </c>
      <c r="R601">
        <v>3</v>
      </c>
    </row>
    <row r="602" spans="1:18" x14ac:dyDescent="0.2">
      <c r="A602">
        <v>573</v>
      </c>
      <c r="B602" t="s">
        <v>194</v>
      </c>
      <c r="C602" t="s">
        <v>1867</v>
      </c>
      <c r="D602">
        <v>-0.73299999999999998</v>
      </c>
      <c r="E602">
        <v>9</v>
      </c>
      <c r="F602" t="s">
        <v>1160</v>
      </c>
      <c r="G602" t="s">
        <v>33</v>
      </c>
      <c r="H602" t="s">
        <v>34</v>
      </c>
      <c r="I602" t="s">
        <v>207</v>
      </c>
      <c r="J602" t="s">
        <v>1868</v>
      </c>
      <c r="L602" t="s">
        <v>2817</v>
      </c>
      <c r="N602" t="str">
        <f t="shared" si="8"/>
        <v xml:space="preserve"> 18.513</v>
      </c>
      <c r="Q602">
        <v>18.513000000000002</v>
      </c>
      <c r="R602">
        <v>9</v>
      </c>
    </row>
    <row r="603" spans="1:18" x14ac:dyDescent="0.2">
      <c r="A603">
        <v>574</v>
      </c>
      <c r="B603" t="s">
        <v>156</v>
      </c>
      <c r="C603" t="s">
        <v>1869</v>
      </c>
      <c r="D603">
        <v>0.28299999999999997</v>
      </c>
      <c r="E603">
        <v>5</v>
      </c>
      <c r="F603" t="s">
        <v>783</v>
      </c>
      <c r="G603" t="s">
        <v>64</v>
      </c>
      <c r="H603" t="s">
        <v>40</v>
      </c>
      <c r="I603" t="s">
        <v>207</v>
      </c>
      <c r="J603" t="s">
        <v>1870</v>
      </c>
      <c r="L603" t="s">
        <v>2818</v>
      </c>
      <c r="N603" t="str">
        <f t="shared" si="8"/>
        <v xml:space="preserve"> 17.579</v>
      </c>
      <c r="Q603">
        <v>17.579000000000001</v>
      </c>
      <c r="R603">
        <v>5</v>
      </c>
    </row>
    <row r="604" spans="1:18" x14ac:dyDescent="0.2">
      <c r="A604">
        <v>575</v>
      </c>
      <c r="B604" t="s">
        <v>108</v>
      </c>
      <c r="C604" t="s">
        <v>1871</v>
      </c>
      <c r="D604">
        <v>2.9000000000000001E-2</v>
      </c>
      <c r="E604">
        <v>5</v>
      </c>
      <c r="F604" t="s">
        <v>696</v>
      </c>
      <c r="G604" t="s">
        <v>33</v>
      </c>
      <c r="H604" t="s">
        <v>40</v>
      </c>
      <c r="I604" t="s">
        <v>207</v>
      </c>
      <c r="J604" t="s">
        <v>1872</v>
      </c>
      <c r="L604" t="s">
        <v>2819</v>
      </c>
      <c r="N604" t="str">
        <f t="shared" si="8"/>
        <v xml:space="preserve"> 17.961</v>
      </c>
      <c r="Q604">
        <v>17.960999999999999</v>
      </c>
      <c r="R604">
        <v>5</v>
      </c>
    </row>
    <row r="605" spans="1:18" x14ac:dyDescent="0.2">
      <c r="A605">
        <v>576</v>
      </c>
      <c r="B605" t="s">
        <v>94</v>
      </c>
      <c r="C605" t="s">
        <v>1873</v>
      </c>
      <c r="D605">
        <v>-0.42</v>
      </c>
      <c r="E605">
        <v>7</v>
      </c>
      <c r="F605" t="s">
        <v>740</v>
      </c>
      <c r="G605" t="s">
        <v>64</v>
      </c>
      <c r="H605" t="s">
        <v>40</v>
      </c>
      <c r="I605" t="s">
        <v>207</v>
      </c>
      <c r="J605" t="s">
        <v>1874</v>
      </c>
      <c r="L605" t="s">
        <v>2820</v>
      </c>
      <c r="N605" t="str">
        <f t="shared" si="8"/>
        <v xml:space="preserve"> 16.154</v>
      </c>
      <c r="Q605">
        <v>16.154</v>
      </c>
      <c r="R605">
        <v>7</v>
      </c>
    </row>
    <row r="606" spans="1:18" x14ac:dyDescent="0.2">
      <c r="A606">
        <v>577</v>
      </c>
      <c r="B606" t="s">
        <v>113</v>
      </c>
      <c r="C606" t="s">
        <v>1875</v>
      </c>
      <c r="D606">
        <v>2.536</v>
      </c>
      <c r="E606">
        <v>1</v>
      </c>
      <c r="F606" t="s">
        <v>684</v>
      </c>
      <c r="G606" t="s">
        <v>33</v>
      </c>
      <c r="H606" t="s">
        <v>40</v>
      </c>
      <c r="I606" t="s">
        <v>207</v>
      </c>
      <c r="J606" t="s">
        <v>1876</v>
      </c>
      <c r="L606" t="s">
        <v>2821</v>
      </c>
      <c r="N606" t="str">
        <f t="shared" si="8"/>
        <v xml:space="preserve"> 17.768</v>
      </c>
      <c r="Q606">
        <v>17.768000000000001</v>
      </c>
      <c r="R606">
        <v>1</v>
      </c>
    </row>
    <row r="607" spans="1:18" x14ac:dyDescent="0.2">
      <c r="A607">
        <v>578</v>
      </c>
      <c r="B607" t="s">
        <v>135</v>
      </c>
      <c r="C607" t="s">
        <v>1877</v>
      </c>
      <c r="D607">
        <v>0.35899999999999999</v>
      </c>
      <c r="E607">
        <v>4</v>
      </c>
      <c r="F607" t="s">
        <v>690</v>
      </c>
      <c r="G607" t="s">
        <v>33</v>
      </c>
      <c r="H607" t="s">
        <v>40</v>
      </c>
      <c r="I607" t="s">
        <v>207</v>
      </c>
      <c r="J607" t="s">
        <v>1878</v>
      </c>
      <c r="L607" t="s">
        <v>2822</v>
      </c>
      <c r="N607" t="str">
        <f t="shared" si="8"/>
        <v xml:space="preserve"> 17.330</v>
      </c>
      <c r="Q607">
        <v>17.329999999999998</v>
      </c>
      <c r="R607">
        <v>4</v>
      </c>
    </row>
    <row r="608" spans="1:18" x14ac:dyDescent="0.2">
      <c r="A608">
        <v>579</v>
      </c>
      <c r="B608" t="s">
        <v>194</v>
      </c>
      <c r="C608" t="s">
        <v>1879</v>
      </c>
      <c r="D608">
        <v>0.501</v>
      </c>
      <c r="E608">
        <v>4</v>
      </c>
      <c r="F608" t="s">
        <v>690</v>
      </c>
      <c r="G608" t="s">
        <v>33</v>
      </c>
      <c r="H608" t="s">
        <v>40</v>
      </c>
      <c r="I608" t="s">
        <v>207</v>
      </c>
      <c r="J608" t="s">
        <v>1880</v>
      </c>
      <c r="L608" t="s">
        <v>2823</v>
      </c>
      <c r="N608" t="str">
        <f t="shared" si="8"/>
        <v xml:space="preserve"> 15.333</v>
      </c>
      <c r="Q608">
        <v>15.333</v>
      </c>
      <c r="R608">
        <v>4</v>
      </c>
    </row>
    <row r="609" spans="1:18" x14ac:dyDescent="0.2">
      <c r="A609">
        <v>580</v>
      </c>
      <c r="B609" t="s">
        <v>74</v>
      </c>
      <c r="C609" t="s">
        <v>1881</v>
      </c>
      <c r="D609">
        <v>-0.64300000000000002</v>
      </c>
      <c r="E609">
        <v>8</v>
      </c>
      <c r="F609" t="s">
        <v>906</v>
      </c>
      <c r="G609" t="s">
        <v>33</v>
      </c>
      <c r="H609" t="s">
        <v>34</v>
      </c>
      <c r="I609" t="s">
        <v>207</v>
      </c>
      <c r="J609" t="s">
        <v>1882</v>
      </c>
      <c r="L609" t="s">
        <v>2824</v>
      </c>
      <c r="N609" t="str">
        <f t="shared" si="8"/>
        <v xml:space="preserve"> 14.874</v>
      </c>
      <c r="Q609">
        <v>14.874000000000001</v>
      </c>
      <c r="R609">
        <v>8</v>
      </c>
    </row>
    <row r="610" spans="1:18" x14ac:dyDescent="0.2">
      <c r="A610">
        <v>581</v>
      </c>
      <c r="B610" t="s">
        <v>37</v>
      </c>
      <c r="C610" t="s">
        <v>1883</v>
      </c>
      <c r="D610">
        <v>0.54400000000000004</v>
      </c>
      <c r="E610">
        <v>4</v>
      </c>
      <c r="F610" t="s">
        <v>682</v>
      </c>
      <c r="G610" t="s">
        <v>33</v>
      </c>
      <c r="H610" t="s">
        <v>40</v>
      </c>
      <c r="I610" t="s">
        <v>207</v>
      </c>
      <c r="J610" t="s">
        <v>1884</v>
      </c>
      <c r="L610" t="s">
        <v>2825</v>
      </c>
      <c r="N610" t="str">
        <f t="shared" si="8"/>
        <v xml:space="preserve"> 15.560</v>
      </c>
      <c r="Q610">
        <v>15.56</v>
      </c>
      <c r="R610">
        <v>4</v>
      </c>
    </row>
    <row r="611" spans="1:18" x14ac:dyDescent="0.2">
      <c r="A611">
        <v>582</v>
      </c>
      <c r="B611" t="s">
        <v>43</v>
      </c>
      <c r="C611" t="s">
        <v>1885</v>
      </c>
      <c r="D611">
        <v>-0.63200000000000001</v>
      </c>
      <c r="E611">
        <v>8</v>
      </c>
      <c r="F611" t="s">
        <v>906</v>
      </c>
      <c r="G611" t="s">
        <v>33</v>
      </c>
      <c r="H611" t="s">
        <v>34</v>
      </c>
      <c r="I611" t="s">
        <v>207</v>
      </c>
      <c r="J611" t="s">
        <v>1886</v>
      </c>
      <c r="L611" t="s">
        <v>2826</v>
      </c>
      <c r="N611" t="str">
        <f t="shared" si="8"/>
        <v xml:space="preserve"> 16.333</v>
      </c>
      <c r="Q611">
        <v>16.332999999999998</v>
      </c>
      <c r="R611">
        <v>8</v>
      </c>
    </row>
    <row r="612" spans="1:18" x14ac:dyDescent="0.2">
      <c r="A612">
        <v>583</v>
      </c>
      <c r="B612" t="s">
        <v>233</v>
      </c>
      <c r="C612" t="s">
        <v>1887</v>
      </c>
      <c r="D612">
        <v>-0.79200000000000004</v>
      </c>
      <c r="E612">
        <v>9</v>
      </c>
      <c r="F612" t="s">
        <v>1054</v>
      </c>
      <c r="G612" t="s">
        <v>64</v>
      </c>
      <c r="H612" t="s">
        <v>65</v>
      </c>
      <c r="I612" t="s">
        <v>207</v>
      </c>
      <c r="J612" t="s">
        <v>1888</v>
      </c>
      <c r="L612" t="s">
        <v>2827</v>
      </c>
      <c r="N612" t="str">
        <f t="shared" si="8"/>
        <v xml:space="preserve"> 12.932</v>
      </c>
      <c r="Q612">
        <v>12.932</v>
      </c>
      <c r="R612">
        <v>9</v>
      </c>
    </row>
    <row r="613" spans="1:18" x14ac:dyDescent="0.2">
      <c r="A613">
        <v>584</v>
      </c>
      <c r="B613" t="s">
        <v>101</v>
      </c>
      <c r="C613" t="s">
        <v>1889</v>
      </c>
      <c r="D613">
        <v>0.22</v>
      </c>
      <c r="E613">
        <v>5</v>
      </c>
      <c r="F613" t="s">
        <v>711</v>
      </c>
      <c r="G613" t="s">
        <v>33</v>
      </c>
      <c r="H613" t="s">
        <v>40</v>
      </c>
      <c r="I613" t="s">
        <v>207</v>
      </c>
      <c r="J613" t="s">
        <v>1890</v>
      </c>
      <c r="L613" t="s">
        <v>2828</v>
      </c>
      <c r="N613" t="str">
        <f t="shared" si="8"/>
        <v xml:space="preserve"> 7.2125</v>
      </c>
      <c r="Q613">
        <v>7.2125000000000004</v>
      </c>
      <c r="R613">
        <v>5</v>
      </c>
    </row>
    <row r="614" spans="1:18" x14ac:dyDescent="0.2">
      <c r="A614">
        <v>585</v>
      </c>
      <c r="B614" t="s">
        <v>113</v>
      </c>
      <c r="C614" t="s">
        <v>1891</v>
      </c>
      <c r="D614">
        <v>0.11</v>
      </c>
      <c r="E614">
        <v>5</v>
      </c>
      <c r="F614" t="s">
        <v>696</v>
      </c>
      <c r="G614" t="s">
        <v>64</v>
      </c>
      <c r="H614" t="s">
        <v>40</v>
      </c>
      <c r="I614" t="s">
        <v>207</v>
      </c>
      <c r="J614" t="s">
        <v>1892</v>
      </c>
      <c r="L614" t="s">
        <v>2829</v>
      </c>
      <c r="N614" t="str">
        <f t="shared" si="8"/>
        <v xml:space="preserve"> 6.3819</v>
      </c>
      <c r="Q614">
        <v>6.3818999999999999</v>
      </c>
      <c r="R614">
        <v>5</v>
      </c>
    </row>
    <row r="615" spans="1:18" x14ac:dyDescent="0.2">
      <c r="A615">
        <v>586</v>
      </c>
      <c r="B615" t="s">
        <v>97</v>
      </c>
      <c r="C615" t="s">
        <v>1893</v>
      </c>
      <c r="D615">
        <v>-0.25900000000000001</v>
      </c>
      <c r="E615">
        <v>6</v>
      </c>
      <c r="F615" t="s">
        <v>723</v>
      </c>
      <c r="G615" t="s">
        <v>33</v>
      </c>
      <c r="H615" t="s">
        <v>40</v>
      </c>
      <c r="I615" t="s">
        <v>207</v>
      </c>
      <c r="J615" t="s">
        <v>1894</v>
      </c>
      <c r="L615" t="s">
        <v>2830</v>
      </c>
      <c r="N615" t="str">
        <f t="shared" si="8"/>
        <v xml:space="preserve"> 4.9318</v>
      </c>
      <c r="Q615">
        <v>4.9318</v>
      </c>
      <c r="R615">
        <v>6</v>
      </c>
    </row>
    <row r="616" spans="1:18" x14ac:dyDescent="0.2">
      <c r="A616">
        <v>587</v>
      </c>
      <c r="B616" t="s">
        <v>118</v>
      </c>
      <c r="C616" t="s">
        <v>1895</v>
      </c>
      <c r="D616">
        <v>0.59599999999999997</v>
      </c>
      <c r="E616">
        <v>4</v>
      </c>
      <c r="F616" t="s">
        <v>682</v>
      </c>
      <c r="G616" t="s">
        <v>64</v>
      </c>
      <c r="H616" t="s">
        <v>40</v>
      </c>
      <c r="I616" t="s">
        <v>207</v>
      </c>
      <c r="J616" t="s">
        <v>1896</v>
      </c>
      <c r="L616" t="s">
        <v>2831</v>
      </c>
      <c r="N616" t="str">
        <f t="shared" si="8"/>
        <v xml:space="preserve"> 9.0908</v>
      </c>
      <c r="Q616">
        <v>9.0907999999999998</v>
      </c>
      <c r="R616">
        <v>4</v>
      </c>
    </row>
    <row r="617" spans="1:18" x14ac:dyDescent="0.2">
      <c r="A617">
        <v>588</v>
      </c>
      <c r="B617" t="s">
        <v>108</v>
      </c>
      <c r="C617" t="s">
        <v>1897</v>
      </c>
      <c r="D617">
        <v>0.25800000000000001</v>
      </c>
      <c r="E617">
        <v>5</v>
      </c>
      <c r="F617" t="s">
        <v>783</v>
      </c>
      <c r="G617" t="s">
        <v>33</v>
      </c>
      <c r="H617" t="s">
        <v>40</v>
      </c>
      <c r="I617" t="s">
        <v>469</v>
      </c>
      <c r="J617" t="s">
        <v>1898</v>
      </c>
      <c r="L617" t="s">
        <v>2832</v>
      </c>
      <c r="N617" t="str">
        <f t="shared" si="8"/>
        <v xml:space="preserve"> 15.162</v>
      </c>
      <c r="Q617">
        <v>15.162000000000001</v>
      </c>
      <c r="R617">
        <v>5</v>
      </c>
    </row>
    <row r="618" spans="1:18" x14ac:dyDescent="0.2">
      <c r="A618">
        <v>589</v>
      </c>
      <c r="B618" t="s">
        <v>43</v>
      </c>
      <c r="C618" t="s">
        <v>1899</v>
      </c>
      <c r="D618">
        <v>3.5000000000000003E-2</v>
      </c>
      <c r="E618">
        <v>5</v>
      </c>
      <c r="F618" t="s">
        <v>696</v>
      </c>
      <c r="G618" t="s">
        <v>33</v>
      </c>
      <c r="H618" t="s">
        <v>40</v>
      </c>
      <c r="I618" t="s">
        <v>469</v>
      </c>
      <c r="J618" t="s">
        <v>1900</v>
      </c>
      <c r="L618" t="s">
        <v>2833</v>
      </c>
      <c r="N618" t="str">
        <f t="shared" si="8"/>
        <v xml:space="preserve"> 16.582</v>
      </c>
      <c r="Q618">
        <v>16.582000000000001</v>
      </c>
      <c r="R618">
        <v>5</v>
      </c>
    </row>
    <row r="619" spans="1:18" x14ac:dyDescent="0.2">
      <c r="A619">
        <v>590</v>
      </c>
      <c r="B619" t="s">
        <v>108</v>
      </c>
      <c r="C619" t="s">
        <v>1901</v>
      </c>
      <c r="D619">
        <v>-0.114</v>
      </c>
      <c r="E619">
        <v>6</v>
      </c>
      <c r="F619" t="s">
        <v>1030</v>
      </c>
      <c r="G619" t="s">
        <v>33</v>
      </c>
      <c r="H619" t="s">
        <v>40</v>
      </c>
      <c r="I619" t="s">
        <v>469</v>
      </c>
      <c r="J619" t="s">
        <v>1902</v>
      </c>
      <c r="L619" t="s">
        <v>2834</v>
      </c>
      <c r="N619" t="str">
        <f t="shared" si="8"/>
        <v xml:space="preserve"> 13.052</v>
      </c>
      <c r="Q619">
        <v>13.052</v>
      </c>
      <c r="R619">
        <v>6</v>
      </c>
    </row>
    <row r="620" spans="1:18" x14ac:dyDescent="0.2">
      <c r="A620">
        <v>591</v>
      </c>
      <c r="B620" t="s">
        <v>43</v>
      </c>
      <c r="C620" t="s">
        <v>1903</v>
      </c>
      <c r="D620">
        <v>1.4730000000000001</v>
      </c>
      <c r="E620">
        <v>3</v>
      </c>
      <c r="F620" t="s">
        <v>1904</v>
      </c>
      <c r="G620" t="s">
        <v>64</v>
      </c>
      <c r="H620" t="s">
        <v>40</v>
      </c>
      <c r="I620" t="s">
        <v>1905</v>
      </c>
      <c r="J620" t="s">
        <v>1906</v>
      </c>
      <c r="L620" t="s">
        <v>2835</v>
      </c>
      <c r="N620" t="str">
        <f t="shared" si="8"/>
        <v xml:space="preserve"> 7.4969</v>
      </c>
      <c r="Q620">
        <v>7.4969000000000001</v>
      </c>
      <c r="R620">
        <v>3</v>
      </c>
    </row>
    <row r="621" spans="1:18" x14ac:dyDescent="0.2">
      <c r="A621">
        <v>592</v>
      </c>
      <c r="B621" t="s">
        <v>37</v>
      </c>
      <c r="C621" t="s">
        <v>1907</v>
      </c>
      <c r="D621">
        <v>-0.438</v>
      </c>
      <c r="E621">
        <v>7</v>
      </c>
      <c r="F621" t="s">
        <v>1908</v>
      </c>
      <c r="G621" t="s">
        <v>33</v>
      </c>
      <c r="H621" t="s">
        <v>40</v>
      </c>
      <c r="I621" t="s">
        <v>802</v>
      </c>
      <c r="J621" t="s">
        <v>1909</v>
      </c>
      <c r="L621" t="s">
        <v>2836</v>
      </c>
      <c r="N621" t="str">
        <f t="shared" si="8"/>
        <v xml:space="preserve"> 8.4289</v>
      </c>
      <c r="Q621">
        <v>8.4289000000000005</v>
      </c>
      <c r="R621">
        <v>7</v>
      </c>
    </row>
    <row r="622" spans="1:18" x14ac:dyDescent="0.2">
      <c r="A622">
        <v>593</v>
      </c>
      <c r="B622" t="s">
        <v>43</v>
      </c>
      <c r="C622" t="s">
        <v>1910</v>
      </c>
      <c r="D622">
        <v>-0.55600000000000005</v>
      </c>
      <c r="E622">
        <v>8</v>
      </c>
      <c r="F622" t="s">
        <v>924</v>
      </c>
      <c r="G622" t="s">
        <v>33</v>
      </c>
      <c r="H622" t="s">
        <v>34</v>
      </c>
      <c r="I622" t="s">
        <v>469</v>
      </c>
      <c r="J622" t="s">
        <v>1911</v>
      </c>
      <c r="L622" t="s">
        <v>2837</v>
      </c>
      <c r="N622" t="str">
        <f t="shared" si="8"/>
        <v xml:space="preserve"> 7.2557</v>
      </c>
      <c r="Q622">
        <v>7.2557</v>
      </c>
      <c r="R622">
        <v>8</v>
      </c>
    </row>
    <row r="623" spans="1:18" x14ac:dyDescent="0.2">
      <c r="A623">
        <v>594</v>
      </c>
      <c r="B623" t="s">
        <v>52</v>
      </c>
      <c r="C623" t="s">
        <v>1912</v>
      </c>
      <c r="D623">
        <v>-0.81899999999999995</v>
      </c>
      <c r="E623">
        <v>9</v>
      </c>
      <c r="F623" t="s">
        <v>1100</v>
      </c>
      <c r="G623" t="s">
        <v>33</v>
      </c>
      <c r="H623" t="s">
        <v>34</v>
      </c>
      <c r="I623" t="s">
        <v>469</v>
      </c>
      <c r="J623" t="s">
        <v>1913</v>
      </c>
      <c r="L623" t="s">
        <v>2838</v>
      </c>
      <c r="N623" t="str">
        <f t="shared" si="8"/>
        <v xml:space="preserve"> 5.3203</v>
      </c>
      <c r="Q623">
        <v>5.3202999999999996</v>
      </c>
      <c r="R623">
        <v>9</v>
      </c>
    </row>
    <row r="624" spans="1:18" x14ac:dyDescent="0.2">
      <c r="A624">
        <v>595</v>
      </c>
      <c r="B624" t="s">
        <v>57</v>
      </c>
      <c r="C624" t="s">
        <v>1914</v>
      </c>
      <c r="D624">
        <v>-0.34</v>
      </c>
      <c r="E624">
        <v>7</v>
      </c>
      <c r="F624" t="s">
        <v>901</v>
      </c>
      <c r="G624" t="s">
        <v>64</v>
      </c>
      <c r="H624" t="s">
        <v>40</v>
      </c>
      <c r="I624" t="s">
        <v>207</v>
      </c>
      <c r="J624" t="s">
        <v>1915</v>
      </c>
      <c r="L624" t="s">
        <v>2839</v>
      </c>
      <c r="N624" t="str">
        <f t="shared" si="8"/>
        <v xml:space="preserve"> 5.0908</v>
      </c>
      <c r="Q624">
        <v>5.0907999999999998</v>
      </c>
      <c r="R624">
        <v>7</v>
      </c>
    </row>
    <row r="625" spans="1:18" x14ac:dyDescent="0.2">
      <c r="A625">
        <v>596</v>
      </c>
      <c r="B625" t="s">
        <v>30</v>
      </c>
      <c r="C625" t="s">
        <v>1916</v>
      </c>
      <c r="D625">
        <v>-0.37</v>
      </c>
      <c r="E625">
        <v>7</v>
      </c>
      <c r="F625" t="s">
        <v>781</v>
      </c>
      <c r="G625" t="s">
        <v>64</v>
      </c>
      <c r="H625" t="s">
        <v>40</v>
      </c>
      <c r="I625" t="s">
        <v>207</v>
      </c>
      <c r="J625" t="s">
        <v>1917</v>
      </c>
      <c r="L625" t="s">
        <v>2840</v>
      </c>
      <c r="N625" t="str">
        <f t="shared" si="8"/>
        <v xml:space="preserve"> 4.9724</v>
      </c>
      <c r="Q625">
        <v>4.9724000000000004</v>
      </c>
      <c r="R625">
        <v>7</v>
      </c>
    </row>
    <row r="626" spans="1:18" x14ac:dyDescent="0.2">
      <c r="A626">
        <v>597</v>
      </c>
      <c r="B626" t="s">
        <v>118</v>
      </c>
      <c r="C626" t="s">
        <v>1918</v>
      </c>
      <c r="D626">
        <v>-0.41499999999999998</v>
      </c>
      <c r="E626">
        <v>7</v>
      </c>
      <c r="F626" t="s">
        <v>912</v>
      </c>
      <c r="G626" t="s">
        <v>64</v>
      </c>
      <c r="H626" t="s">
        <v>40</v>
      </c>
      <c r="I626" t="s">
        <v>207</v>
      </c>
      <c r="J626" t="s">
        <v>1919</v>
      </c>
      <c r="L626" t="s">
        <v>2841</v>
      </c>
      <c r="N626" t="str">
        <f t="shared" si="8"/>
        <v xml:space="preserve"> 4.5370</v>
      </c>
      <c r="Q626">
        <v>4.5369999999999999</v>
      </c>
      <c r="R626">
        <v>7</v>
      </c>
    </row>
    <row r="627" spans="1:18" x14ac:dyDescent="0.2">
      <c r="A627">
        <v>598</v>
      </c>
      <c r="B627" t="s">
        <v>57</v>
      </c>
      <c r="C627" t="s">
        <v>1920</v>
      </c>
      <c r="D627">
        <v>-0.8</v>
      </c>
      <c r="E627">
        <v>9</v>
      </c>
      <c r="F627" t="s">
        <v>1208</v>
      </c>
      <c r="G627" t="s">
        <v>64</v>
      </c>
      <c r="H627" t="s">
        <v>65</v>
      </c>
      <c r="I627" t="s">
        <v>207</v>
      </c>
      <c r="J627" t="s">
        <v>1367</v>
      </c>
      <c r="L627" t="s">
        <v>2842</v>
      </c>
      <c r="N627" t="str">
        <f t="shared" si="8"/>
        <v xml:space="preserve"> 3.4440</v>
      </c>
      <c r="Q627">
        <v>3.444</v>
      </c>
      <c r="R627">
        <v>9</v>
      </c>
    </row>
    <row r="628" spans="1:18" x14ac:dyDescent="0.2">
      <c r="A628">
        <v>599</v>
      </c>
      <c r="B628" t="s">
        <v>94</v>
      </c>
      <c r="C628" t="s">
        <v>1921</v>
      </c>
      <c r="D628">
        <v>-0.54500000000000004</v>
      </c>
      <c r="E628">
        <v>8</v>
      </c>
      <c r="F628" t="s">
        <v>729</v>
      </c>
      <c r="G628" t="s">
        <v>64</v>
      </c>
      <c r="H628" t="s">
        <v>40</v>
      </c>
      <c r="I628" t="s">
        <v>207</v>
      </c>
      <c r="J628" t="s">
        <v>1922</v>
      </c>
      <c r="L628" t="s">
        <v>2843</v>
      </c>
      <c r="N628" t="str">
        <f t="shared" si="8"/>
        <v xml:space="preserve"> 3.1748</v>
      </c>
      <c r="Q628">
        <v>3.1747999999999998</v>
      </c>
      <c r="R628">
        <v>8</v>
      </c>
    </row>
    <row r="629" spans="1:18" x14ac:dyDescent="0.2">
      <c r="A629">
        <v>600</v>
      </c>
      <c r="B629" t="s">
        <v>118</v>
      </c>
      <c r="C629" t="s">
        <v>1923</v>
      </c>
      <c r="D629">
        <v>-0.77700000000000002</v>
      </c>
      <c r="E629">
        <v>9</v>
      </c>
      <c r="F629" t="s">
        <v>1109</v>
      </c>
      <c r="G629" t="s">
        <v>64</v>
      </c>
      <c r="H629" t="s">
        <v>65</v>
      </c>
      <c r="I629" t="s">
        <v>207</v>
      </c>
      <c r="J629" t="s">
        <v>1924</v>
      </c>
      <c r="L629" t="s">
        <v>2844</v>
      </c>
      <c r="N629" t="str">
        <f t="shared" si="8"/>
        <v xml:space="preserve"> 3.3543</v>
      </c>
      <c r="Q629">
        <v>3.3542999999999998</v>
      </c>
      <c r="R629">
        <v>9</v>
      </c>
    </row>
    <row r="630" spans="1:18" x14ac:dyDescent="0.2">
      <c r="A630">
        <v>601</v>
      </c>
      <c r="B630" t="s">
        <v>156</v>
      </c>
      <c r="C630" t="s">
        <v>1925</v>
      </c>
      <c r="D630">
        <v>-0.66300000000000003</v>
      </c>
      <c r="E630">
        <v>8</v>
      </c>
      <c r="F630" t="s">
        <v>896</v>
      </c>
      <c r="G630" t="s">
        <v>64</v>
      </c>
      <c r="H630" t="s">
        <v>40</v>
      </c>
      <c r="I630" t="s">
        <v>207</v>
      </c>
      <c r="J630" t="s">
        <v>1926</v>
      </c>
      <c r="L630" t="s">
        <v>2845</v>
      </c>
      <c r="N630" t="str">
        <f t="shared" si="8"/>
        <v xml:space="preserve"> 3.6318</v>
      </c>
      <c r="Q630">
        <v>3.6318000000000001</v>
      </c>
      <c r="R630">
        <v>8</v>
      </c>
    </row>
    <row r="631" spans="1:18" x14ac:dyDescent="0.2">
      <c r="A631">
        <v>602</v>
      </c>
      <c r="B631" t="s">
        <v>94</v>
      </c>
      <c r="C631" t="s">
        <v>1927</v>
      </c>
      <c r="D631">
        <v>-0.80700000000000005</v>
      </c>
      <c r="E631">
        <v>9</v>
      </c>
      <c r="F631" t="s">
        <v>1208</v>
      </c>
      <c r="G631" t="s">
        <v>64</v>
      </c>
      <c r="H631" t="s">
        <v>65</v>
      </c>
      <c r="I631" t="s">
        <v>207</v>
      </c>
      <c r="J631" t="s">
        <v>1401</v>
      </c>
      <c r="L631" t="s">
        <v>2846</v>
      </c>
      <c r="N631" t="str">
        <f t="shared" si="8"/>
        <v xml:space="preserve"> 2.8356</v>
      </c>
      <c r="Q631">
        <v>2.8355999999999999</v>
      </c>
      <c r="R631">
        <v>9</v>
      </c>
    </row>
    <row r="632" spans="1:18" x14ac:dyDescent="0.2">
      <c r="A632">
        <v>603</v>
      </c>
      <c r="B632" t="s">
        <v>113</v>
      </c>
      <c r="C632" t="s">
        <v>1928</v>
      </c>
      <c r="D632">
        <v>-0.81399999999999995</v>
      </c>
      <c r="E632">
        <v>9</v>
      </c>
      <c r="F632" t="s">
        <v>927</v>
      </c>
      <c r="G632" t="s">
        <v>64</v>
      </c>
      <c r="H632" t="s">
        <v>65</v>
      </c>
      <c r="I632" t="s">
        <v>207</v>
      </c>
      <c r="J632" t="s">
        <v>1153</v>
      </c>
      <c r="L632" t="s">
        <v>2847</v>
      </c>
      <c r="N632" t="str">
        <f t="shared" si="8"/>
        <v xml:space="preserve"> 2.8925</v>
      </c>
      <c r="Q632">
        <v>2.8925000000000001</v>
      </c>
      <c r="R632">
        <v>9</v>
      </c>
    </row>
    <row r="633" spans="1:18" x14ac:dyDescent="0.2">
      <c r="A633">
        <v>604</v>
      </c>
      <c r="B633" t="s">
        <v>43</v>
      </c>
      <c r="C633" t="s">
        <v>1929</v>
      </c>
      <c r="D633">
        <v>-0.80500000000000005</v>
      </c>
      <c r="E633">
        <v>9</v>
      </c>
      <c r="F633" t="s">
        <v>1208</v>
      </c>
      <c r="G633" t="s">
        <v>64</v>
      </c>
      <c r="H633" t="s">
        <v>65</v>
      </c>
      <c r="I633" t="s">
        <v>207</v>
      </c>
      <c r="J633" t="s">
        <v>1930</v>
      </c>
      <c r="L633" t="s">
        <v>2848</v>
      </c>
      <c r="N633" t="str">
        <f t="shared" si="8"/>
        <v xml:space="preserve"> 3.3827</v>
      </c>
      <c r="Q633">
        <v>3.3826999999999998</v>
      </c>
      <c r="R633">
        <v>9</v>
      </c>
    </row>
    <row r="634" spans="1:18" x14ac:dyDescent="0.2">
      <c r="A634">
        <v>605</v>
      </c>
      <c r="B634" t="s">
        <v>108</v>
      </c>
      <c r="C634" t="s">
        <v>1931</v>
      </c>
      <c r="D634">
        <v>-0.749</v>
      </c>
      <c r="E634">
        <v>9</v>
      </c>
      <c r="F634" t="s">
        <v>1364</v>
      </c>
      <c r="G634" t="s">
        <v>64</v>
      </c>
      <c r="H634" t="s">
        <v>65</v>
      </c>
      <c r="I634" t="s">
        <v>207</v>
      </c>
      <c r="J634" t="s">
        <v>1932</v>
      </c>
      <c r="L634" t="s">
        <v>2849</v>
      </c>
      <c r="N634" t="str">
        <f t="shared" si="8"/>
        <v xml:space="preserve"> 2.5065</v>
      </c>
      <c r="Q634">
        <v>2.5065</v>
      </c>
      <c r="R634">
        <v>9</v>
      </c>
    </row>
    <row r="635" spans="1:18" x14ac:dyDescent="0.2">
      <c r="A635">
        <v>606</v>
      </c>
      <c r="B635" t="s">
        <v>113</v>
      </c>
      <c r="C635" t="s">
        <v>1933</v>
      </c>
      <c r="D635">
        <v>-0.89900000000000002</v>
      </c>
      <c r="E635">
        <v>9</v>
      </c>
      <c r="F635" t="s">
        <v>675</v>
      </c>
      <c r="G635" t="s">
        <v>64</v>
      </c>
      <c r="H635" t="s">
        <v>65</v>
      </c>
      <c r="I635" t="s">
        <v>207</v>
      </c>
      <c r="J635" t="s">
        <v>981</v>
      </c>
      <c r="L635" t="s">
        <v>2850</v>
      </c>
      <c r="N635" t="str">
        <f t="shared" si="8"/>
        <v xml:space="preserve"> 2.2278</v>
      </c>
      <c r="Q635">
        <v>2.2277999999999998</v>
      </c>
      <c r="R635">
        <v>9</v>
      </c>
    </row>
    <row r="636" spans="1:18" x14ac:dyDescent="0.2">
      <c r="A636">
        <v>607</v>
      </c>
      <c r="B636" t="s">
        <v>52</v>
      </c>
      <c r="C636" t="s">
        <v>1934</v>
      </c>
      <c r="D636">
        <v>-0.78100000000000003</v>
      </c>
      <c r="E636">
        <v>9</v>
      </c>
      <c r="F636" t="s">
        <v>1288</v>
      </c>
      <c r="G636" t="s">
        <v>64</v>
      </c>
      <c r="H636" t="s">
        <v>65</v>
      </c>
      <c r="I636" t="s">
        <v>207</v>
      </c>
      <c r="J636" t="s">
        <v>1935</v>
      </c>
      <c r="L636" t="s">
        <v>2851</v>
      </c>
      <c r="N636" t="str">
        <f t="shared" si="8"/>
        <v xml:space="preserve"> 2.8302</v>
      </c>
      <c r="Q636">
        <v>2.8302</v>
      </c>
      <c r="R636">
        <v>9</v>
      </c>
    </row>
    <row r="637" spans="1:18" x14ac:dyDescent="0.2">
      <c r="A637">
        <v>608</v>
      </c>
      <c r="B637" t="s">
        <v>118</v>
      </c>
      <c r="C637" t="s">
        <v>1936</v>
      </c>
      <c r="D637">
        <v>-0.82499999999999996</v>
      </c>
      <c r="E637">
        <v>9</v>
      </c>
      <c r="F637" t="s">
        <v>1100</v>
      </c>
      <c r="G637" t="s">
        <v>64</v>
      </c>
      <c r="H637" t="s">
        <v>65</v>
      </c>
      <c r="I637" t="s">
        <v>207</v>
      </c>
      <c r="J637" t="s">
        <v>1937</v>
      </c>
      <c r="L637" t="s">
        <v>2852</v>
      </c>
      <c r="N637" t="str">
        <f t="shared" si="8"/>
        <v xml:space="preserve"> 3.2616</v>
      </c>
      <c r="Q637">
        <v>3.2616000000000001</v>
      </c>
      <c r="R637">
        <v>9</v>
      </c>
    </row>
    <row r="638" spans="1:18" x14ac:dyDescent="0.2">
      <c r="A638">
        <v>609</v>
      </c>
      <c r="B638" t="s">
        <v>113</v>
      </c>
      <c r="C638" t="s">
        <v>1938</v>
      </c>
      <c r="D638">
        <v>-0.81299999999999994</v>
      </c>
      <c r="E638">
        <v>9</v>
      </c>
      <c r="F638" t="s">
        <v>927</v>
      </c>
      <c r="G638" t="s">
        <v>64</v>
      </c>
      <c r="H638" t="s">
        <v>65</v>
      </c>
      <c r="I638" t="s">
        <v>207</v>
      </c>
      <c r="J638" t="s">
        <v>1325</v>
      </c>
      <c r="L638" t="s">
        <v>2853</v>
      </c>
      <c r="N638" t="str">
        <f t="shared" si="8"/>
        <v xml:space="preserve"> 4.2184</v>
      </c>
      <c r="Q638">
        <v>4.2183999999999999</v>
      </c>
      <c r="R638">
        <v>9</v>
      </c>
    </row>
    <row r="639" spans="1:18" x14ac:dyDescent="0.2">
      <c r="A639">
        <v>610</v>
      </c>
      <c r="B639" t="s">
        <v>101</v>
      </c>
      <c r="C639" t="s">
        <v>1939</v>
      </c>
      <c r="D639">
        <v>-0.82199999999999995</v>
      </c>
      <c r="E639">
        <v>9</v>
      </c>
      <c r="F639" t="s">
        <v>927</v>
      </c>
      <c r="G639" t="s">
        <v>33</v>
      </c>
      <c r="H639" t="s">
        <v>34</v>
      </c>
      <c r="I639" t="s">
        <v>207</v>
      </c>
      <c r="J639" t="s">
        <v>1940</v>
      </c>
      <c r="L639" t="s">
        <v>2854</v>
      </c>
      <c r="N639" t="str">
        <f t="shared" si="8"/>
        <v xml:space="preserve"> 4.4208</v>
      </c>
      <c r="Q639">
        <v>4.4207999999999998</v>
      </c>
      <c r="R639">
        <v>9</v>
      </c>
    </row>
    <row r="640" spans="1:18" x14ac:dyDescent="0.2">
      <c r="A640">
        <v>611</v>
      </c>
      <c r="B640" t="s">
        <v>43</v>
      </c>
      <c r="C640" t="s">
        <v>1941</v>
      </c>
      <c r="D640">
        <v>-0.80500000000000005</v>
      </c>
      <c r="E640">
        <v>9</v>
      </c>
      <c r="F640" t="s">
        <v>1208</v>
      </c>
      <c r="G640" t="s">
        <v>33</v>
      </c>
      <c r="H640" t="s">
        <v>34</v>
      </c>
      <c r="I640" t="s">
        <v>207</v>
      </c>
      <c r="J640" t="s">
        <v>1930</v>
      </c>
      <c r="L640" t="s">
        <v>2855</v>
      </c>
      <c r="N640" t="str">
        <f t="shared" si="8"/>
        <v xml:space="preserve"> 3.2119</v>
      </c>
      <c r="Q640">
        <v>3.2119</v>
      </c>
      <c r="R640">
        <v>9</v>
      </c>
    </row>
    <row r="641" spans="1:18" x14ac:dyDescent="0.2">
      <c r="A641">
        <v>612</v>
      </c>
      <c r="B641" t="s">
        <v>194</v>
      </c>
      <c r="C641" t="s">
        <v>1942</v>
      </c>
      <c r="D641">
        <v>-0.92400000000000004</v>
      </c>
      <c r="E641">
        <v>9</v>
      </c>
      <c r="F641" t="s">
        <v>888</v>
      </c>
      <c r="G641" t="s">
        <v>33</v>
      </c>
      <c r="H641" t="s">
        <v>34</v>
      </c>
      <c r="I641" t="s">
        <v>207</v>
      </c>
      <c r="J641" t="s">
        <v>1943</v>
      </c>
      <c r="L641" t="s">
        <v>2856</v>
      </c>
      <c r="N641" t="str">
        <f t="shared" si="8"/>
        <v xml:space="preserve"> 2.9611</v>
      </c>
      <c r="Q641">
        <v>2.9611000000000001</v>
      </c>
      <c r="R641">
        <v>9</v>
      </c>
    </row>
    <row r="642" spans="1:18" x14ac:dyDescent="0.2">
      <c r="A642">
        <v>613</v>
      </c>
      <c r="B642" t="s">
        <v>142</v>
      </c>
      <c r="C642" t="s">
        <v>1944</v>
      </c>
      <c r="D642">
        <v>-0.877</v>
      </c>
      <c r="E642">
        <v>9</v>
      </c>
      <c r="F642" t="s">
        <v>1045</v>
      </c>
      <c r="G642" t="s">
        <v>64</v>
      </c>
      <c r="H642" t="s">
        <v>65</v>
      </c>
      <c r="I642" t="s">
        <v>207</v>
      </c>
      <c r="J642" t="s">
        <v>1945</v>
      </c>
      <c r="L642" t="s">
        <v>2857</v>
      </c>
      <c r="N642" t="str">
        <f t="shared" si="8"/>
        <v xml:space="preserve"> 4.3246</v>
      </c>
      <c r="Q642">
        <v>4.3246000000000002</v>
      </c>
      <c r="R642">
        <v>9</v>
      </c>
    </row>
    <row r="643" spans="1:18" x14ac:dyDescent="0.2">
      <c r="A643">
        <v>614</v>
      </c>
      <c r="B643" t="s">
        <v>118</v>
      </c>
      <c r="C643" t="s">
        <v>1946</v>
      </c>
      <c r="D643">
        <v>-0.46600000000000003</v>
      </c>
      <c r="E643">
        <v>7</v>
      </c>
      <c r="F643" t="s">
        <v>1187</v>
      </c>
      <c r="G643" t="s">
        <v>64</v>
      </c>
      <c r="H643" t="s">
        <v>40</v>
      </c>
      <c r="I643" t="s">
        <v>207</v>
      </c>
      <c r="J643" t="s">
        <v>1947</v>
      </c>
      <c r="L643" t="s">
        <v>2858</v>
      </c>
      <c r="N643" t="str">
        <f t="shared" si="8"/>
        <v xml:space="preserve"> 3.9803</v>
      </c>
      <c r="Q643">
        <v>3.9803000000000002</v>
      </c>
      <c r="R643">
        <v>7</v>
      </c>
    </row>
    <row r="644" spans="1:18" x14ac:dyDescent="0.2">
      <c r="A644">
        <v>615</v>
      </c>
      <c r="B644" t="s">
        <v>156</v>
      </c>
      <c r="C644" t="s">
        <v>1948</v>
      </c>
      <c r="D644">
        <v>-0.88500000000000001</v>
      </c>
      <c r="E644">
        <v>9</v>
      </c>
      <c r="F644" t="s">
        <v>1045</v>
      </c>
      <c r="G644" t="s">
        <v>64</v>
      </c>
      <c r="H644" t="s">
        <v>65</v>
      </c>
      <c r="I644" t="s">
        <v>207</v>
      </c>
      <c r="J644" t="s">
        <v>1949</v>
      </c>
      <c r="L644" t="s">
        <v>2859</v>
      </c>
      <c r="N644" t="str">
        <f t="shared" si="8"/>
        <v xml:space="preserve"> 3.3534</v>
      </c>
      <c r="Q644">
        <v>3.3534000000000002</v>
      </c>
      <c r="R644">
        <v>9</v>
      </c>
    </row>
    <row r="645" spans="1:18" x14ac:dyDescent="0.2">
      <c r="A645">
        <v>616</v>
      </c>
      <c r="B645" t="s">
        <v>52</v>
      </c>
      <c r="C645" t="s">
        <v>1950</v>
      </c>
      <c r="D645">
        <v>-0.874</v>
      </c>
      <c r="E645">
        <v>9</v>
      </c>
      <c r="F645" t="s">
        <v>1045</v>
      </c>
      <c r="G645" t="s">
        <v>64</v>
      </c>
      <c r="H645" t="s">
        <v>65</v>
      </c>
      <c r="I645" t="s">
        <v>207</v>
      </c>
      <c r="J645" t="s">
        <v>1951</v>
      </c>
      <c r="L645" t="s">
        <v>2860</v>
      </c>
      <c r="N645" t="str">
        <f t="shared" si="8"/>
        <v xml:space="preserve"> 3.7270</v>
      </c>
      <c r="Q645">
        <v>3.7269999999999999</v>
      </c>
      <c r="R645">
        <v>9</v>
      </c>
    </row>
    <row r="646" spans="1:18" x14ac:dyDescent="0.2">
      <c r="A646">
        <v>617</v>
      </c>
      <c r="B646" t="s">
        <v>113</v>
      </c>
      <c r="C646" t="s">
        <v>1952</v>
      </c>
      <c r="D646">
        <v>-0.81100000000000005</v>
      </c>
      <c r="E646">
        <v>9</v>
      </c>
      <c r="F646" t="s">
        <v>1208</v>
      </c>
      <c r="G646" t="s">
        <v>64</v>
      </c>
      <c r="H646" t="s">
        <v>65</v>
      </c>
      <c r="I646" t="s">
        <v>207</v>
      </c>
      <c r="J646" t="s">
        <v>1953</v>
      </c>
      <c r="L646" t="s">
        <v>2861</v>
      </c>
      <c r="N646" t="str">
        <f t="shared" si="8"/>
        <v xml:space="preserve"> 4.4542</v>
      </c>
      <c r="Q646">
        <v>4.4542000000000002</v>
      </c>
      <c r="R646">
        <v>9</v>
      </c>
    </row>
    <row r="647" spans="1:18" x14ac:dyDescent="0.2">
      <c r="A647">
        <v>618</v>
      </c>
      <c r="B647" t="s">
        <v>113</v>
      </c>
      <c r="C647" t="s">
        <v>1954</v>
      </c>
      <c r="D647">
        <v>-0.45900000000000002</v>
      </c>
      <c r="E647">
        <v>7</v>
      </c>
      <c r="F647" t="s">
        <v>1167</v>
      </c>
      <c r="G647" t="s">
        <v>64</v>
      </c>
      <c r="H647" t="s">
        <v>40</v>
      </c>
      <c r="I647" t="s">
        <v>207</v>
      </c>
      <c r="J647" t="s">
        <v>1955</v>
      </c>
      <c r="L647" t="s">
        <v>2862</v>
      </c>
      <c r="N647" t="str">
        <f t="shared" ref="N647:N710" si="9">RIGHT((LEFT(L647,11)),7)</f>
        <v xml:space="preserve"> 4.1844</v>
      </c>
      <c r="Q647">
        <v>4.1844000000000001</v>
      </c>
      <c r="R647">
        <v>7</v>
      </c>
    </row>
    <row r="648" spans="1:18" x14ac:dyDescent="0.2">
      <c r="A648">
        <v>619</v>
      </c>
      <c r="B648" t="s">
        <v>30</v>
      </c>
      <c r="C648" t="s">
        <v>1956</v>
      </c>
      <c r="D648">
        <v>-0.82099999999999995</v>
      </c>
      <c r="E648">
        <v>9</v>
      </c>
      <c r="F648" t="s">
        <v>1100</v>
      </c>
      <c r="G648" t="s">
        <v>64</v>
      </c>
      <c r="H648" t="s">
        <v>65</v>
      </c>
      <c r="I648" t="s">
        <v>207</v>
      </c>
      <c r="J648" t="s">
        <v>1957</v>
      </c>
      <c r="L648" t="s">
        <v>2863</v>
      </c>
      <c r="N648" t="str">
        <f t="shared" si="9"/>
        <v xml:space="preserve"> 3.7547</v>
      </c>
      <c r="Q648">
        <v>3.7547000000000001</v>
      </c>
      <c r="R648">
        <v>9</v>
      </c>
    </row>
    <row r="649" spans="1:18" x14ac:dyDescent="0.2">
      <c r="A649">
        <v>620</v>
      </c>
      <c r="B649" t="s">
        <v>97</v>
      </c>
      <c r="C649" t="s">
        <v>1958</v>
      </c>
      <c r="D649">
        <v>-0.74099999999999999</v>
      </c>
      <c r="E649">
        <v>9</v>
      </c>
      <c r="F649" t="s">
        <v>1038</v>
      </c>
      <c r="G649" t="s">
        <v>33</v>
      </c>
      <c r="H649" t="s">
        <v>34</v>
      </c>
      <c r="I649" t="s">
        <v>207</v>
      </c>
      <c r="J649" t="s">
        <v>1959</v>
      </c>
      <c r="L649" t="s">
        <v>2864</v>
      </c>
      <c r="N649" t="str">
        <f t="shared" si="9"/>
        <v xml:space="preserve"> 4.5126</v>
      </c>
      <c r="Q649">
        <v>4.5125999999999999</v>
      </c>
      <c r="R649">
        <v>9</v>
      </c>
    </row>
    <row r="650" spans="1:18" x14ac:dyDescent="0.2">
      <c r="A650">
        <v>621</v>
      </c>
      <c r="B650" t="s">
        <v>74</v>
      </c>
      <c r="C650" t="s">
        <v>1960</v>
      </c>
      <c r="D650">
        <v>-0.49399999999999999</v>
      </c>
      <c r="E650">
        <v>7</v>
      </c>
      <c r="F650" t="s">
        <v>1167</v>
      </c>
      <c r="G650" t="s">
        <v>33</v>
      </c>
      <c r="H650" t="s">
        <v>40</v>
      </c>
      <c r="I650" t="s">
        <v>207</v>
      </c>
      <c r="J650" t="s">
        <v>1961</v>
      </c>
      <c r="L650" t="s">
        <v>2865</v>
      </c>
      <c r="N650" t="str">
        <f t="shared" si="9"/>
        <v xml:space="preserve"> 4.5208</v>
      </c>
      <c r="Q650">
        <v>4.5208000000000004</v>
      </c>
      <c r="R650">
        <v>7</v>
      </c>
    </row>
    <row r="651" spans="1:18" x14ac:dyDescent="0.2">
      <c r="A651">
        <v>622</v>
      </c>
      <c r="B651" t="s">
        <v>142</v>
      </c>
      <c r="C651" t="s">
        <v>1962</v>
      </c>
      <c r="D651">
        <v>-0.17699999999999999</v>
      </c>
      <c r="E651">
        <v>6</v>
      </c>
      <c r="F651" t="s">
        <v>1030</v>
      </c>
      <c r="G651" t="s">
        <v>64</v>
      </c>
      <c r="H651" t="s">
        <v>40</v>
      </c>
      <c r="I651" t="s">
        <v>207</v>
      </c>
      <c r="J651" t="s">
        <v>1963</v>
      </c>
      <c r="L651" t="s">
        <v>2866</v>
      </c>
      <c r="N651" t="str">
        <f t="shared" si="9"/>
        <v xml:space="preserve"> 3.7899</v>
      </c>
      <c r="Q651">
        <v>3.7898999999999998</v>
      </c>
      <c r="R651">
        <v>6</v>
      </c>
    </row>
    <row r="652" spans="1:18" x14ac:dyDescent="0.2">
      <c r="A652">
        <v>623</v>
      </c>
      <c r="B652" t="s">
        <v>43</v>
      </c>
      <c r="C652" t="s">
        <v>1964</v>
      </c>
      <c r="D652">
        <v>-0.89700000000000002</v>
      </c>
      <c r="E652">
        <v>9</v>
      </c>
      <c r="F652" t="s">
        <v>675</v>
      </c>
      <c r="G652" t="s">
        <v>33</v>
      </c>
      <c r="H652" t="s">
        <v>34</v>
      </c>
      <c r="I652" t="s">
        <v>469</v>
      </c>
      <c r="J652" t="s">
        <v>894</v>
      </c>
      <c r="L652" t="s">
        <v>2867</v>
      </c>
      <c r="N652" t="str">
        <f t="shared" si="9"/>
        <v xml:space="preserve"> 3.8098</v>
      </c>
      <c r="Q652">
        <v>3.8098000000000001</v>
      </c>
      <c r="R652">
        <v>9</v>
      </c>
    </row>
    <row r="653" spans="1:18" x14ac:dyDescent="0.2">
      <c r="A653">
        <v>624</v>
      </c>
      <c r="B653" t="s">
        <v>123</v>
      </c>
      <c r="C653" t="s">
        <v>1965</v>
      </c>
      <c r="D653">
        <v>-0.91700000000000004</v>
      </c>
      <c r="E653">
        <v>9</v>
      </c>
      <c r="F653" t="s">
        <v>888</v>
      </c>
      <c r="G653" t="s">
        <v>33</v>
      </c>
      <c r="H653" t="s">
        <v>34</v>
      </c>
      <c r="I653" t="s">
        <v>469</v>
      </c>
      <c r="J653" t="s">
        <v>1315</v>
      </c>
      <c r="L653" t="s">
        <v>2868</v>
      </c>
      <c r="N653" t="str">
        <f t="shared" si="9"/>
        <v xml:space="preserve"> 2.9613</v>
      </c>
      <c r="Q653">
        <v>2.9613</v>
      </c>
      <c r="R653">
        <v>9</v>
      </c>
    </row>
    <row r="654" spans="1:18" x14ac:dyDescent="0.2">
      <c r="A654">
        <v>625</v>
      </c>
      <c r="B654" t="s">
        <v>113</v>
      </c>
      <c r="C654" t="s">
        <v>1966</v>
      </c>
      <c r="D654">
        <v>-0.34499999999999997</v>
      </c>
      <c r="E654">
        <v>7</v>
      </c>
      <c r="F654" t="s">
        <v>901</v>
      </c>
      <c r="G654" t="s">
        <v>64</v>
      </c>
      <c r="H654" t="s">
        <v>40</v>
      </c>
      <c r="I654" t="s">
        <v>207</v>
      </c>
      <c r="J654" t="s">
        <v>1967</v>
      </c>
      <c r="L654" t="s">
        <v>2869</v>
      </c>
      <c r="N654" t="str">
        <f t="shared" si="9"/>
        <v xml:space="preserve"> 2.9532</v>
      </c>
      <c r="Q654">
        <v>2.9531999999999998</v>
      </c>
      <c r="R654">
        <v>7</v>
      </c>
    </row>
    <row r="655" spans="1:18" x14ac:dyDescent="0.2">
      <c r="A655">
        <v>626</v>
      </c>
      <c r="B655" t="s">
        <v>123</v>
      </c>
      <c r="C655" t="s">
        <v>1968</v>
      </c>
      <c r="D655">
        <v>-0.12</v>
      </c>
      <c r="E655">
        <v>6</v>
      </c>
      <c r="F655" t="s">
        <v>1030</v>
      </c>
      <c r="G655" t="s">
        <v>33</v>
      </c>
      <c r="H655" t="s">
        <v>40</v>
      </c>
      <c r="I655" t="s">
        <v>207</v>
      </c>
      <c r="J655" t="s">
        <v>1969</v>
      </c>
      <c r="L655" t="s">
        <v>2870</v>
      </c>
      <c r="N655" t="str">
        <f t="shared" si="9"/>
        <v xml:space="preserve"> 2.8552</v>
      </c>
      <c r="Q655">
        <v>2.8552</v>
      </c>
      <c r="R655">
        <v>6</v>
      </c>
    </row>
    <row r="656" spans="1:18" x14ac:dyDescent="0.2">
      <c r="A656">
        <v>627</v>
      </c>
      <c r="B656" t="s">
        <v>30</v>
      </c>
      <c r="C656" t="s">
        <v>1970</v>
      </c>
      <c r="D656">
        <v>-0.51400000000000001</v>
      </c>
      <c r="E656">
        <v>7</v>
      </c>
      <c r="F656" t="s">
        <v>882</v>
      </c>
      <c r="G656" t="s">
        <v>64</v>
      </c>
      <c r="H656" t="s">
        <v>40</v>
      </c>
      <c r="I656" t="s">
        <v>207</v>
      </c>
      <c r="J656" t="s">
        <v>1971</v>
      </c>
      <c r="L656" t="s">
        <v>2871</v>
      </c>
      <c r="N656" t="str">
        <f t="shared" si="9"/>
        <v xml:space="preserve"> 2.8183</v>
      </c>
      <c r="Q656">
        <v>2.8182999999999998</v>
      </c>
      <c r="R656">
        <v>7</v>
      </c>
    </row>
    <row r="657" spans="1:18" x14ac:dyDescent="0.2">
      <c r="A657">
        <v>628</v>
      </c>
      <c r="B657" t="s">
        <v>113</v>
      </c>
      <c r="C657" t="s">
        <v>1972</v>
      </c>
      <c r="D657">
        <v>-0.57699999999999996</v>
      </c>
      <c r="E657">
        <v>8</v>
      </c>
      <c r="F657" t="s">
        <v>1148</v>
      </c>
      <c r="G657" t="s">
        <v>64</v>
      </c>
      <c r="H657" t="s">
        <v>40</v>
      </c>
      <c r="I657" t="s">
        <v>207</v>
      </c>
      <c r="J657" t="s">
        <v>1973</v>
      </c>
      <c r="L657" t="s">
        <v>2872</v>
      </c>
      <c r="N657" t="str">
        <f t="shared" si="9"/>
        <v xml:space="preserve"> 2.4776</v>
      </c>
      <c r="Q657">
        <v>2.4775999999999998</v>
      </c>
      <c r="R657">
        <v>8</v>
      </c>
    </row>
    <row r="658" spans="1:18" x14ac:dyDescent="0.2">
      <c r="A658">
        <v>629</v>
      </c>
      <c r="B658" t="s">
        <v>52</v>
      </c>
      <c r="C658" t="s">
        <v>1974</v>
      </c>
      <c r="D658">
        <v>-0.46300000000000002</v>
      </c>
      <c r="E658">
        <v>7</v>
      </c>
      <c r="F658" t="s">
        <v>1187</v>
      </c>
      <c r="G658" t="s">
        <v>64</v>
      </c>
      <c r="H658" t="s">
        <v>40</v>
      </c>
      <c r="I658" t="s">
        <v>207</v>
      </c>
      <c r="J658" t="s">
        <v>1975</v>
      </c>
      <c r="L658" t="s">
        <v>2873</v>
      </c>
      <c r="N658" t="str">
        <f t="shared" si="9"/>
        <v xml:space="preserve"> 2.2201</v>
      </c>
      <c r="Q658">
        <v>2.2201</v>
      </c>
      <c r="R658">
        <v>7</v>
      </c>
    </row>
    <row r="659" spans="1:18" x14ac:dyDescent="0.2">
      <c r="A659">
        <v>630</v>
      </c>
      <c r="B659" t="s">
        <v>43</v>
      </c>
      <c r="C659" t="s">
        <v>1976</v>
      </c>
      <c r="D659">
        <v>-0.41299999999999998</v>
      </c>
      <c r="E659">
        <v>7</v>
      </c>
      <c r="F659" t="s">
        <v>740</v>
      </c>
      <c r="G659" t="s">
        <v>64</v>
      </c>
      <c r="H659" t="s">
        <v>40</v>
      </c>
      <c r="I659" t="s">
        <v>469</v>
      </c>
      <c r="J659" t="s">
        <v>1977</v>
      </c>
      <c r="L659" t="s">
        <v>2874</v>
      </c>
      <c r="N659" t="str">
        <f t="shared" si="9"/>
        <v xml:space="preserve"> 2.3916</v>
      </c>
      <c r="Q659">
        <v>2.3915999999999999</v>
      </c>
      <c r="R659">
        <v>7</v>
      </c>
    </row>
    <row r="660" spans="1:18" x14ac:dyDescent="0.2">
      <c r="A660">
        <v>631</v>
      </c>
      <c r="B660" t="s">
        <v>156</v>
      </c>
      <c r="C660" t="s">
        <v>1978</v>
      </c>
      <c r="D660">
        <v>-0.84199999999999997</v>
      </c>
      <c r="E660">
        <v>9</v>
      </c>
      <c r="F660" t="s">
        <v>1095</v>
      </c>
      <c r="G660" t="s">
        <v>64</v>
      </c>
      <c r="H660" t="s">
        <v>65</v>
      </c>
      <c r="I660" t="s">
        <v>469</v>
      </c>
      <c r="J660" t="s">
        <v>1979</v>
      </c>
      <c r="L660" t="s">
        <v>2875</v>
      </c>
      <c r="N660" t="str">
        <f t="shared" si="9"/>
        <v xml:space="preserve"> 2.2283</v>
      </c>
      <c r="Q660">
        <v>2.2282999999999999</v>
      </c>
      <c r="R660">
        <v>9</v>
      </c>
    </row>
    <row r="661" spans="1:18" x14ac:dyDescent="0.2">
      <c r="A661">
        <v>632</v>
      </c>
      <c r="B661" t="s">
        <v>156</v>
      </c>
      <c r="C661" t="s">
        <v>1980</v>
      </c>
      <c r="D661">
        <v>-0.77600000000000002</v>
      </c>
      <c r="E661">
        <v>9</v>
      </c>
      <c r="F661" t="s">
        <v>1109</v>
      </c>
      <c r="G661" t="s">
        <v>64</v>
      </c>
      <c r="H661" t="s">
        <v>65</v>
      </c>
      <c r="I661" t="s">
        <v>469</v>
      </c>
      <c r="J661" t="s">
        <v>1981</v>
      </c>
      <c r="L661" t="s">
        <v>2876</v>
      </c>
      <c r="N661" t="str">
        <f t="shared" si="9"/>
        <v xml:space="preserve"> 1.7673</v>
      </c>
      <c r="Q661">
        <v>1.7673000000000001</v>
      </c>
      <c r="R661">
        <v>9</v>
      </c>
    </row>
    <row r="662" spans="1:18" x14ac:dyDescent="0.2">
      <c r="A662">
        <v>633</v>
      </c>
      <c r="B662" t="s">
        <v>118</v>
      </c>
      <c r="C662" t="s">
        <v>1982</v>
      </c>
      <c r="D662">
        <v>-4.9000000000000002E-2</v>
      </c>
      <c r="E662">
        <v>5</v>
      </c>
      <c r="F662" t="s">
        <v>701</v>
      </c>
      <c r="G662" t="s">
        <v>64</v>
      </c>
      <c r="H662" t="s">
        <v>40</v>
      </c>
      <c r="I662" t="s">
        <v>469</v>
      </c>
      <c r="J662" t="s">
        <v>1983</v>
      </c>
      <c r="L662" t="s">
        <v>2877</v>
      </c>
      <c r="N662" t="str">
        <f t="shared" si="9"/>
        <v xml:space="preserve"> 2.4097</v>
      </c>
      <c r="Q662">
        <v>2.4097</v>
      </c>
      <c r="R662">
        <v>5</v>
      </c>
    </row>
    <row r="663" spans="1:18" x14ac:dyDescent="0.2">
      <c r="A663">
        <v>634</v>
      </c>
      <c r="B663" t="s">
        <v>30</v>
      </c>
      <c r="C663" t="s">
        <v>1984</v>
      </c>
      <c r="D663">
        <v>-0.379</v>
      </c>
      <c r="E663">
        <v>7</v>
      </c>
      <c r="F663" t="s">
        <v>912</v>
      </c>
      <c r="G663" t="s">
        <v>64</v>
      </c>
      <c r="H663" t="s">
        <v>40</v>
      </c>
      <c r="I663" t="s">
        <v>861</v>
      </c>
      <c r="J663" t="s">
        <v>1985</v>
      </c>
      <c r="L663" t="s">
        <v>2878</v>
      </c>
      <c r="N663" t="str">
        <f t="shared" si="9"/>
        <v xml:space="preserve"> 2.9343</v>
      </c>
      <c r="Q663">
        <v>2.9342999999999999</v>
      </c>
      <c r="R663">
        <v>7</v>
      </c>
    </row>
    <row r="664" spans="1:18" x14ac:dyDescent="0.2">
      <c r="A664">
        <v>635</v>
      </c>
      <c r="B664" t="s">
        <v>156</v>
      </c>
      <c r="C664" t="s">
        <v>1986</v>
      </c>
      <c r="D664">
        <v>-0.92700000000000005</v>
      </c>
      <c r="E664">
        <v>9</v>
      </c>
      <c r="F664" t="s">
        <v>888</v>
      </c>
      <c r="G664" t="s">
        <v>64</v>
      </c>
      <c r="H664" t="s">
        <v>65</v>
      </c>
      <c r="I664" t="s">
        <v>861</v>
      </c>
      <c r="J664" t="s">
        <v>880</v>
      </c>
      <c r="L664" t="s">
        <v>2879</v>
      </c>
      <c r="N664" t="str">
        <f t="shared" si="9"/>
        <v xml:space="preserve"> 2.7168</v>
      </c>
      <c r="Q664">
        <v>2.7168000000000001</v>
      </c>
      <c r="R664">
        <v>9</v>
      </c>
    </row>
    <row r="665" spans="1:18" x14ac:dyDescent="0.2">
      <c r="A665">
        <v>636</v>
      </c>
      <c r="B665" t="s">
        <v>233</v>
      </c>
      <c r="C665" t="s">
        <v>1987</v>
      </c>
      <c r="D665">
        <v>-0.33300000000000002</v>
      </c>
      <c r="E665">
        <v>7</v>
      </c>
      <c r="F665" t="s">
        <v>901</v>
      </c>
      <c r="G665" t="s">
        <v>64</v>
      </c>
      <c r="H665" t="s">
        <v>40</v>
      </c>
      <c r="I665" t="s">
        <v>861</v>
      </c>
      <c r="J665" t="s">
        <v>1988</v>
      </c>
      <c r="L665" t="s">
        <v>2880</v>
      </c>
      <c r="N665" t="str">
        <f t="shared" si="9"/>
        <v xml:space="preserve"> 2.5928</v>
      </c>
      <c r="Q665">
        <v>2.5928</v>
      </c>
      <c r="R665">
        <v>7</v>
      </c>
    </row>
    <row r="666" spans="1:18" x14ac:dyDescent="0.2">
      <c r="A666">
        <v>637</v>
      </c>
      <c r="B666" t="s">
        <v>118</v>
      </c>
      <c r="C666" t="s">
        <v>1989</v>
      </c>
      <c r="D666">
        <v>0.44700000000000001</v>
      </c>
      <c r="E666">
        <v>4</v>
      </c>
      <c r="F666" t="s">
        <v>690</v>
      </c>
      <c r="G666" t="s">
        <v>64</v>
      </c>
      <c r="H666" t="s">
        <v>40</v>
      </c>
      <c r="I666" t="s">
        <v>861</v>
      </c>
      <c r="J666" t="s">
        <v>1990</v>
      </c>
      <c r="L666" t="s">
        <v>2881</v>
      </c>
      <c r="N666" t="str">
        <f t="shared" si="9"/>
        <v xml:space="preserve"> 2.7329</v>
      </c>
      <c r="Q666">
        <v>2.7328999999999999</v>
      </c>
      <c r="R666">
        <v>4</v>
      </c>
    </row>
    <row r="667" spans="1:18" x14ac:dyDescent="0.2">
      <c r="A667">
        <v>638</v>
      </c>
      <c r="B667" t="s">
        <v>156</v>
      </c>
      <c r="C667" t="s">
        <v>1991</v>
      </c>
      <c r="D667">
        <v>-0.65400000000000003</v>
      </c>
      <c r="E667">
        <v>8</v>
      </c>
      <c r="F667" t="s">
        <v>896</v>
      </c>
      <c r="G667" t="s">
        <v>64</v>
      </c>
      <c r="H667" t="s">
        <v>40</v>
      </c>
      <c r="I667" t="s">
        <v>207</v>
      </c>
      <c r="J667" t="s">
        <v>1992</v>
      </c>
      <c r="L667" t="s">
        <v>2882</v>
      </c>
      <c r="N667" t="str">
        <f t="shared" si="9"/>
        <v xml:space="preserve"> 3.4901</v>
      </c>
      <c r="Q667">
        <v>3.4901</v>
      </c>
      <c r="R667">
        <v>8</v>
      </c>
    </row>
    <row r="668" spans="1:18" x14ac:dyDescent="0.2">
      <c r="A668">
        <v>639</v>
      </c>
      <c r="B668" t="s">
        <v>233</v>
      </c>
      <c r="C668" t="s">
        <v>1993</v>
      </c>
      <c r="D668">
        <v>-0.65400000000000003</v>
      </c>
      <c r="E668">
        <v>8</v>
      </c>
      <c r="F668" t="s">
        <v>1303</v>
      </c>
      <c r="G668" t="s">
        <v>64</v>
      </c>
      <c r="H668" t="s">
        <v>40</v>
      </c>
      <c r="I668" t="s">
        <v>207</v>
      </c>
      <c r="J668" t="s">
        <v>1994</v>
      </c>
      <c r="L668" t="s">
        <v>2883</v>
      </c>
      <c r="N668" t="str">
        <f t="shared" si="9"/>
        <v xml:space="preserve"> 3.2622</v>
      </c>
      <c r="Q668">
        <v>3.2622</v>
      </c>
      <c r="R668">
        <v>8</v>
      </c>
    </row>
    <row r="669" spans="1:18" x14ac:dyDescent="0.2">
      <c r="A669">
        <v>640</v>
      </c>
      <c r="B669" t="s">
        <v>94</v>
      </c>
      <c r="C669" t="s">
        <v>1995</v>
      </c>
      <c r="D669">
        <v>-0.624</v>
      </c>
      <c r="E669">
        <v>8</v>
      </c>
      <c r="F669" t="s">
        <v>906</v>
      </c>
      <c r="G669" t="s">
        <v>64</v>
      </c>
      <c r="H669" t="s">
        <v>40</v>
      </c>
      <c r="I669" t="s">
        <v>207</v>
      </c>
      <c r="J669" t="s">
        <v>1996</v>
      </c>
      <c r="L669" t="s">
        <v>2884</v>
      </c>
      <c r="N669" t="str">
        <f t="shared" si="9"/>
        <v xml:space="preserve"> 3.2639</v>
      </c>
      <c r="Q669">
        <v>3.2639</v>
      </c>
      <c r="R669">
        <v>8</v>
      </c>
    </row>
    <row r="670" spans="1:18" x14ac:dyDescent="0.2">
      <c r="A670">
        <v>641</v>
      </c>
      <c r="B670" t="s">
        <v>94</v>
      </c>
      <c r="C670" t="s">
        <v>1997</v>
      </c>
      <c r="D670">
        <v>-0.44</v>
      </c>
      <c r="E670">
        <v>7</v>
      </c>
      <c r="F670" t="s">
        <v>740</v>
      </c>
      <c r="G670" t="s">
        <v>64</v>
      </c>
      <c r="H670" t="s">
        <v>40</v>
      </c>
      <c r="I670" t="s">
        <v>207</v>
      </c>
      <c r="J670" t="s">
        <v>1998</v>
      </c>
      <c r="L670" t="s">
        <v>2885</v>
      </c>
      <c r="N670" t="str">
        <f t="shared" si="9"/>
        <v xml:space="preserve"> 4.3455</v>
      </c>
      <c r="Q670">
        <v>4.3455000000000004</v>
      </c>
      <c r="R670">
        <v>7</v>
      </c>
    </row>
    <row r="671" spans="1:18" x14ac:dyDescent="0.2">
      <c r="A671">
        <v>642</v>
      </c>
      <c r="B671" t="s">
        <v>113</v>
      </c>
      <c r="C671" t="s">
        <v>1999</v>
      </c>
      <c r="D671">
        <v>-0.72599999999999998</v>
      </c>
      <c r="E671">
        <v>9</v>
      </c>
      <c r="F671" t="s">
        <v>1038</v>
      </c>
      <c r="G671" t="s">
        <v>64</v>
      </c>
      <c r="H671" t="s">
        <v>65</v>
      </c>
      <c r="I671" t="s">
        <v>207</v>
      </c>
      <c r="J671" t="s">
        <v>1091</v>
      </c>
      <c r="L671" t="s">
        <v>2886</v>
      </c>
      <c r="N671" t="str">
        <f t="shared" si="9"/>
        <v xml:space="preserve"> 4.4021</v>
      </c>
      <c r="Q671">
        <v>4.4020999999999999</v>
      </c>
      <c r="R671">
        <v>9</v>
      </c>
    </row>
    <row r="672" spans="1:18" x14ac:dyDescent="0.2">
      <c r="A672">
        <v>643</v>
      </c>
      <c r="B672" t="s">
        <v>156</v>
      </c>
      <c r="C672" t="s">
        <v>2000</v>
      </c>
      <c r="D672">
        <v>-0.38400000000000001</v>
      </c>
      <c r="E672">
        <v>7</v>
      </c>
      <c r="F672" t="s">
        <v>912</v>
      </c>
      <c r="G672" t="s">
        <v>64</v>
      </c>
      <c r="H672" t="s">
        <v>40</v>
      </c>
      <c r="I672" t="s">
        <v>207</v>
      </c>
      <c r="J672" t="s">
        <v>2001</v>
      </c>
      <c r="L672" t="s">
        <v>2887</v>
      </c>
      <c r="N672" t="str">
        <f t="shared" si="9"/>
        <v xml:space="preserve"> 5.8427</v>
      </c>
      <c r="Q672">
        <v>5.8426999999999998</v>
      </c>
      <c r="R672">
        <v>7</v>
      </c>
    </row>
    <row r="673" spans="1:18" x14ac:dyDescent="0.2">
      <c r="A673">
        <v>644</v>
      </c>
      <c r="B673" t="s">
        <v>94</v>
      </c>
      <c r="C673" t="s">
        <v>2002</v>
      </c>
      <c r="D673">
        <v>-0.33600000000000002</v>
      </c>
      <c r="E673">
        <v>7</v>
      </c>
      <c r="F673" t="s">
        <v>901</v>
      </c>
      <c r="G673" t="s">
        <v>64</v>
      </c>
      <c r="H673" t="s">
        <v>40</v>
      </c>
      <c r="I673" t="s">
        <v>207</v>
      </c>
      <c r="J673" t="s">
        <v>2003</v>
      </c>
      <c r="L673" t="s">
        <v>2888</v>
      </c>
      <c r="N673" t="str">
        <f t="shared" si="9"/>
        <v xml:space="preserve"> 6.2822</v>
      </c>
      <c r="Q673">
        <v>6.2821999999999996</v>
      </c>
      <c r="R673">
        <v>7</v>
      </c>
    </row>
    <row r="674" spans="1:18" x14ac:dyDescent="0.2">
      <c r="A674">
        <v>645</v>
      </c>
      <c r="B674" t="s">
        <v>43</v>
      </c>
      <c r="C674" t="s">
        <v>2004</v>
      </c>
      <c r="D674">
        <v>-0.75900000000000001</v>
      </c>
      <c r="E674">
        <v>9</v>
      </c>
      <c r="F674" t="s">
        <v>1109</v>
      </c>
      <c r="G674" t="s">
        <v>64</v>
      </c>
      <c r="H674" t="s">
        <v>65</v>
      </c>
      <c r="I674" t="s">
        <v>207</v>
      </c>
      <c r="J674" t="s">
        <v>2005</v>
      </c>
      <c r="L674" t="s">
        <v>2889</v>
      </c>
      <c r="N674" t="str">
        <f t="shared" si="9"/>
        <v xml:space="preserve"> 8.3618</v>
      </c>
      <c r="Q674">
        <v>8.3618000000000006</v>
      </c>
      <c r="R674">
        <v>9</v>
      </c>
    </row>
    <row r="675" spans="1:18" x14ac:dyDescent="0.2">
      <c r="A675">
        <v>646</v>
      </c>
      <c r="B675" t="s">
        <v>194</v>
      </c>
      <c r="C675" t="s">
        <v>2006</v>
      </c>
      <c r="D675">
        <v>-0.125</v>
      </c>
      <c r="E675">
        <v>6</v>
      </c>
      <c r="F675" t="s">
        <v>1030</v>
      </c>
      <c r="G675" t="s">
        <v>33</v>
      </c>
      <c r="H675" t="s">
        <v>40</v>
      </c>
      <c r="I675" t="s">
        <v>207</v>
      </c>
      <c r="J675" t="s">
        <v>2007</v>
      </c>
      <c r="L675" t="s">
        <v>2890</v>
      </c>
      <c r="N675" t="str">
        <f t="shared" si="9"/>
        <v xml:space="preserve"> 9.4197</v>
      </c>
      <c r="Q675">
        <v>9.4197000000000006</v>
      </c>
      <c r="R675">
        <v>6</v>
      </c>
    </row>
    <row r="676" spans="1:18" x14ac:dyDescent="0.2">
      <c r="A676">
        <v>647</v>
      </c>
      <c r="B676" t="s">
        <v>156</v>
      </c>
      <c r="C676" t="s">
        <v>2008</v>
      </c>
      <c r="D676">
        <v>-0.67600000000000005</v>
      </c>
      <c r="E676">
        <v>8</v>
      </c>
      <c r="F676" t="s">
        <v>2009</v>
      </c>
      <c r="G676" t="s">
        <v>64</v>
      </c>
      <c r="H676" t="s">
        <v>40</v>
      </c>
      <c r="I676" t="s">
        <v>207</v>
      </c>
      <c r="J676" t="s">
        <v>2010</v>
      </c>
      <c r="L676" t="s">
        <v>2891</v>
      </c>
      <c r="N676" t="str">
        <f t="shared" si="9"/>
        <v xml:space="preserve"> 10.740</v>
      </c>
      <c r="Q676">
        <v>10.74</v>
      </c>
      <c r="R676">
        <v>8</v>
      </c>
    </row>
    <row r="677" spans="1:18" x14ac:dyDescent="0.2">
      <c r="A677">
        <v>648</v>
      </c>
      <c r="B677" t="s">
        <v>37</v>
      </c>
      <c r="C677" t="s">
        <v>2011</v>
      </c>
      <c r="D677">
        <v>-0.60199999999999998</v>
      </c>
      <c r="E677">
        <v>8</v>
      </c>
      <c r="F677" t="s">
        <v>909</v>
      </c>
      <c r="G677" t="s">
        <v>33</v>
      </c>
      <c r="H677" t="s">
        <v>34</v>
      </c>
      <c r="I677" t="s">
        <v>207</v>
      </c>
      <c r="J677" t="s">
        <v>2012</v>
      </c>
      <c r="L677" t="s">
        <v>2892</v>
      </c>
      <c r="N677" t="str">
        <f t="shared" si="9"/>
        <v xml:space="preserve"> 9.7349</v>
      </c>
      <c r="Q677">
        <v>9.7348999999999997</v>
      </c>
      <c r="R677">
        <v>8</v>
      </c>
    </row>
    <row r="678" spans="1:18" x14ac:dyDescent="0.2">
      <c r="A678">
        <v>649</v>
      </c>
      <c r="B678" t="s">
        <v>156</v>
      </c>
      <c r="C678" t="s">
        <v>2013</v>
      </c>
      <c r="D678">
        <v>-0.51600000000000001</v>
      </c>
      <c r="E678">
        <v>8</v>
      </c>
      <c r="F678" t="s">
        <v>882</v>
      </c>
      <c r="G678" t="s">
        <v>64</v>
      </c>
      <c r="H678" t="s">
        <v>40</v>
      </c>
      <c r="I678" t="s">
        <v>207</v>
      </c>
      <c r="J678" t="s">
        <v>2014</v>
      </c>
      <c r="L678" t="s">
        <v>2893</v>
      </c>
      <c r="N678" t="str">
        <f t="shared" si="9"/>
        <v xml:space="preserve"> 9.4411</v>
      </c>
      <c r="Q678">
        <v>9.4411000000000005</v>
      </c>
      <c r="R678">
        <v>8</v>
      </c>
    </row>
    <row r="679" spans="1:18" x14ac:dyDescent="0.2">
      <c r="A679">
        <v>650</v>
      </c>
      <c r="B679" t="s">
        <v>52</v>
      </c>
      <c r="C679" t="s">
        <v>2015</v>
      </c>
      <c r="D679">
        <v>-0.34499999999999997</v>
      </c>
      <c r="E679">
        <v>7</v>
      </c>
      <c r="F679" t="s">
        <v>901</v>
      </c>
      <c r="G679" t="s">
        <v>64</v>
      </c>
      <c r="H679" t="s">
        <v>40</v>
      </c>
      <c r="I679" t="s">
        <v>207</v>
      </c>
      <c r="J679" t="s">
        <v>2016</v>
      </c>
      <c r="L679" t="s">
        <v>2894</v>
      </c>
      <c r="N679" t="str">
        <f t="shared" si="9"/>
        <v xml:space="preserve"> 8.5452</v>
      </c>
      <c r="Q679">
        <v>8.5451999999999995</v>
      </c>
      <c r="R679">
        <v>7</v>
      </c>
    </row>
    <row r="680" spans="1:18" x14ac:dyDescent="0.2">
      <c r="A680">
        <v>651</v>
      </c>
      <c r="B680" t="s">
        <v>30</v>
      </c>
      <c r="C680" t="s">
        <v>2017</v>
      </c>
      <c r="D680">
        <v>-0.61599999999999999</v>
      </c>
      <c r="E680">
        <v>8</v>
      </c>
      <c r="F680" t="s">
        <v>909</v>
      </c>
      <c r="G680" t="s">
        <v>64</v>
      </c>
      <c r="H680" t="s">
        <v>40</v>
      </c>
      <c r="I680" t="s">
        <v>207</v>
      </c>
      <c r="J680" t="s">
        <v>2018</v>
      </c>
      <c r="L680" t="s">
        <v>2895</v>
      </c>
      <c r="N680" t="str">
        <f t="shared" si="9"/>
        <v xml:space="preserve"> 6.8972</v>
      </c>
      <c r="Q680">
        <v>6.8971999999999998</v>
      </c>
      <c r="R680">
        <v>8</v>
      </c>
    </row>
    <row r="681" spans="1:18" x14ac:dyDescent="0.2">
      <c r="A681">
        <v>652</v>
      </c>
      <c r="B681" t="s">
        <v>142</v>
      </c>
      <c r="C681" t="s">
        <v>2019</v>
      </c>
      <c r="D681">
        <v>-0.73099999999999998</v>
      </c>
      <c r="E681">
        <v>9</v>
      </c>
      <c r="F681" t="s">
        <v>1160</v>
      </c>
      <c r="G681" t="s">
        <v>64</v>
      </c>
      <c r="H681" t="s">
        <v>65</v>
      </c>
      <c r="I681" t="s">
        <v>207</v>
      </c>
      <c r="J681" t="s">
        <v>2020</v>
      </c>
      <c r="L681" t="s">
        <v>2896</v>
      </c>
      <c r="N681" t="str">
        <f t="shared" si="9"/>
        <v xml:space="preserve"> 6.8824</v>
      </c>
      <c r="Q681">
        <v>6.8823999999999996</v>
      </c>
      <c r="R681">
        <v>9</v>
      </c>
    </row>
    <row r="682" spans="1:18" x14ac:dyDescent="0.2">
      <c r="A682">
        <v>653</v>
      </c>
      <c r="B682" t="s">
        <v>52</v>
      </c>
      <c r="C682" t="s">
        <v>2021</v>
      </c>
      <c r="D682">
        <v>-0.20799999999999999</v>
      </c>
      <c r="E682">
        <v>6</v>
      </c>
      <c r="F682" t="s">
        <v>720</v>
      </c>
      <c r="G682" t="s">
        <v>64</v>
      </c>
      <c r="H682" t="s">
        <v>40</v>
      </c>
      <c r="I682" t="s">
        <v>207</v>
      </c>
      <c r="J682" t="s">
        <v>2022</v>
      </c>
      <c r="L682" t="s">
        <v>2897</v>
      </c>
      <c r="N682" t="str">
        <f t="shared" si="9"/>
        <v xml:space="preserve"> 6.6269</v>
      </c>
      <c r="Q682">
        <v>6.6269</v>
      </c>
      <c r="R682">
        <v>6</v>
      </c>
    </row>
    <row r="683" spans="1:18" x14ac:dyDescent="0.2">
      <c r="A683">
        <v>654</v>
      </c>
      <c r="B683" t="s">
        <v>113</v>
      </c>
      <c r="C683" t="s">
        <v>2023</v>
      </c>
      <c r="D683">
        <v>1.4999999999999999E-2</v>
      </c>
      <c r="E683">
        <v>5</v>
      </c>
      <c r="F683" t="s">
        <v>1247</v>
      </c>
      <c r="G683" t="s">
        <v>64</v>
      </c>
      <c r="H683" t="s">
        <v>40</v>
      </c>
      <c r="I683" t="s">
        <v>207</v>
      </c>
      <c r="J683" t="s">
        <v>2024</v>
      </c>
      <c r="L683" t="s">
        <v>2898</v>
      </c>
      <c r="N683" t="str">
        <f t="shared" si="9"/>
        <v xml:space="preserve"> 5.4255</v>
      </c>
      <c r="Q683">
        <v>5.4255000000000004</v>
      </c>
      <c r="R683">
        <v>5</v>
      </c>
    </row>
    <row r="684" spans="1:18" x14ac:dyDescent="0.2">
      <c r="A684">
        <v>655</v>
      </c>
      <c r="B684" t="s">
        <v>113</v>
      </c>
      <c r="C684" t="s">
        <v>2025</v>
      </c>
      <c r="D684">
        <v>-0.76200000000000001</v>
      </c>
      <c r="E684">
        <v>9</v>
      </c>
      <c r="F684" t="s">
        <v>1109</v>
      </c>
      <c r="G684" t="s">
        <v>64</v>
      </c>
      <c r="H684" t="s">
        <v>65</v>
      </c>
      <c r="I684" t="s">
        <v>207</v>
      </c>
      <c r="J684" t="s">
        <v>2026</v>
      </c>
      <c r="L684" t="s">
        <v>2899</v>
      </c>
      <c r="N684" t="str">
        <f t="shared" si="9"/>
        <v xml:space="preserve"> 4.9061</v>
      </c>
      <c r="Q684">
        <v>4.9061000000000003</v>
      </c>
      <c r="R684">
        <v>9</v>
      </c>
    </row>
    <row r="685" spans="1:18" x14ac:dyDescent="0.2">
      <c r="A685">
        <v>656</v>
      </c>
      <c r="B685" t="s">
        <v>233</v>
      </c>
      <c r="C685" t="s">
        <v>2027</v>
      </c>
      <c r="D685">
        <v>-0.79100000000000004</v>
      </c>
      <c r="E685">
        <v>9</v>
      </c>
      <c r="F685" t="s">
        <v>1054</v>
      </c>
      <c r="G685" t="s">
        <v>64</v>
      </c>
      <c r="H685" t="s">
        <v>65</v>
      </c>
      <c r="I685" t="s">
        <v>207</v>
      </c>
      <c r="J685" t="s">
        <v>1888</v>
      </c>
      <c r="L685" t="s">
        <v>2900</v>
      </c>
      <c r="N685" t="str">
        <f t="shared" si="9"/>
        <v xml:space="preserve"> 5.0509</v>
      </c>
      <c r="Q685">
        <v>5.0509000000000004</v>
      </c>
      <c r="R685">
        <v>9</v>
      </c>
    </row>
    <row r="686" spans="1:18" x14ac:dyDescent="0.2">
      <c r="A686">
        <v>657</v>
      </c>
      <c r="B686" t="s">
        <v>113</v>
      </c>
      <c r="C686" t="s">
        <v>2028</v>
      </c>
      <c r="D686">
        <v>-0.63600000000000001</v>
      </c>
      <c r="E686">
        <v>8</v>
      </c>
      <c r="F686" t="s">
        <v>906</v>
      </c>
      <c r="G686" t="s">
        <v>64</v>
      </c>
      <c r="H686" t="s">
        <v>40</v>
      </c>
      <c r="I686" t="s">
        <v>469</v>
      </c>
      <c r="J686" t="s">
        <v>2029</v>
      </c>
      <c r="L686" t="s">
        <v>2901</v>
      </c>
      <c r="N686" t="str">
        <f t="shared" si="9"/>
        <v xml:space="preserve"> 4.7142</v>
      </c>
      <c r="Q686">
        <v>4.7141999999999999</v>
      </c>
      <c r="R686">
        <v>8</v>
      </c>
    </row>
    <row r="687" spans="1:18" x14ac:dyDescent="0.2">
      <c r="A687">
        <v>658</v>
      </c>
      <c r="B687" t="s">
        <v>94</v>
      </c>
      <c r="C687" t="s">
        <v>2030</v>
      </c>
      <c r="D687">
        <v>-0.80100000000000005</v>
      </c>
      <c r="E687">
        <v>9</v>
      </c>
      <c r="F687" t="s">
        <v>1208</v>
      </c>
      <c r="G687" t="s">
        <v>64</v>
      </c>
      <c r="H687" t="s">
        <v>65</v>
      </c>
      <c r="I687" t="s">
        <v>469</v>
      </c>
      <c r="J687" t="s">
        <v>2031</v>
      </c>
      <c r="L687" t="s">
        <v>2902</v>
      </c>
      <c r="N687" t="str">
        <f t="shared" si="9"/>
        <v xml:space="preserve"> 3.9112</v>
      </c>
      <c r="Q687">
        <v>3.9112</v>
      </c>
      <c r="R687">
        <v>9</v>
      </c>
    </row>
    <row r="688" spans="1:18" x14ac:dyDescent="0.2">
      <c r="A688">
        <v>659</v>
      </c>
      <c r="B688" t="s">
        <v>43</v>
      </c>
      <c r="C688" t="s">
        <v>2032</v>
      </c>
      <c r="D688">
        <v>-0.48699999999999999</v>
      </c>
      <c r="E688">
        <v>7</v>
      </c>
      <c r="F688" t="s">
        <v>1167</v>
      </c>
      <c r="G688" t="s">
        <v>64</v>
      </c>
      <c r="H688" t="s">
        <v>40</v>
      </c>
      <c r="I688" t="s">
        <v>207</v>
      </c>
      <c r="J688" t="s">
        <v>2033</v>
      </c>
      <c r="L688" t="s">
        <v>2903</v>
      </c>
      <c r="N688" t="str">
        <f t="shared" si="9"/>
        <v xml:space="preserve"> 3.6826</v>
      </c>
      <c r="Q688">
        <v>3.6825999999999999</v>
      </c>
      <c r="R688">
        <v>7</v>
      </c>
    </row>
    <row r="689" spans="1:18" x14ac:dyDescent="0.2">
      <c r="A689">
        <v>660</v>
      </c>
      <c r="B689" t="s">
        <v>43</v>
      </c>
      <c r="C689" t="s">
        <v>2034</v>
      </c>
      <c r="D689">
        <v>-0.72099999999999997</v>
      </c>
      <c r="E689">
        <v>8</v>
      </c>
      <c r="F689" t="s">
        <v>1062</v>
      </c>
      <c r="G689" t="s">
        <v>64</v>
      </c>
      <c r="H689" t="s">
        <v>40</v>
      </c>
      <c r="I689" t="s">
        <v>207</v>
      </c>
      <c r="J689" t="s">
        <v>2035</v>
      </c>
      <c r="L689" t="s">
        <v>2904</v>
      </c>
      <c r="N689" t="str">
        <f t="shared" si="9"/>
        <v xml:space="preserve"> 3.8802</v>
      </c>
      <c r="Q689">
        <v>3.8801999999999999</v>
      </c>
      <c r="R689">
        <v>8</v>
      </c>
    </row>
    <row r="690" spans="1:18" x14ac:dyDescent="0.2">
      <c r="A690">
        <v>661</v>
      </c>
      <c r="B690" t="s">
        <v>118</v>
      </c>
      <c r="C690" t="s">
        <v>2036</v>
      </c>
      <c r="D690">
        <v>0.249</v>
      </c>
      <c r="E690">
        <v>5</v>
      </c>
      <c r="F690" t="s">
        <v>783</v>
      </c>
      <c r="G690" t="s">
        <v>64</v>
      </c>
      <c r="H690" t="s">
        <v>40</v>
      </c>
      <c r="I690" t="s">
        <v>207</v>
      </c>
      <c r="J690" t="s">
        <v>2037</v>
      </c>
      <c r="L690" t="s">
        <v>2905</v>
      </c>
      <c r="N690" t="str">
        <f t="shared" si="9"/>
        <v xml:space="preserve"> 2.8043</v>
      </c>
      <c r="Q690">
        <v>2.8043</v>
      </c>
      <c r="R690">
        <v>5</v>
      </c>
    </row>
    <row r="691" spans="1:18" x14ac:dyDescent="0.2">
      <c r="A691">
        <v>662</v>
      </c>
      <c r="B691" t="s">
        <v>156</v>
      </c>
      <c r="C691" t="s">
        <v>2038</v>
      </c>
      <c r="D691">
        <v>-0.66700000000000004</v>
      </c>
      <c r="E691">
        <v>8</v>
      </c>
      <c r="F691" t="s">
        <v>896</v>
      </c>
      <c r="G691" t="s">
        <v>64</v>
      </c>
      <c r="H691" t="s">
        <v>40</v>
      </c>
      <c r="I691" t="s">
        <v>207</v>
      </c>
      <c r="J691" t="s">
        <v>2039</v>
      </c>
      <c r="L691" t="s">
        <v>2906</v>
      </c>
      <c r="N691" t="str">
        <f t="shared" si="9"/>
        <v xml:space="preserve"> 1.6748</v>
      </c>
      <c r="Q691">
        <v>1.6748000000000001</v>
      </c>
      <c r="R691">
        <v>8</v>
      </c>
    </row>
    <row r="692" spans="1:18" x14ac:dyDescent="0.2">
      <c r="A692">
        <v>663</v>
      </c>
      <c r="B692" t="s">
        <v>142</v>
      </c>
      <c r="C692" t="s">
        <v>2040</v>
      </c>
      <c r="D692">
        <v>-0.68400000000000005</v>
      </c>
      <c r="E692">
        <v>8</v>
      </c>
      <c r="F692" t="s">
        <v>1224</v>
      </c>
      <c r="G692" t="s">
        <v>64</v>
      </c>
      <c r="H692" t="s">
        <v>40</v>
      </c>
      <c r="I692" t="s">
        <v>207</v>
      </c>
      <c r="J692" t="s">
        <v>2041</v>
      </c>
      <c r="L692" t="s">
        <v>2907</v>
      </c>
      <c r="N692" t="str">
        <f t="shared" si="9"/>
        <v xml:space="preserve"> 1.9485</v>
      </c>
      <c r="Q692">
        <v>1.9484999999999999</v>
      </c>
      <c r="R692">
        <v>8</v>
      </c>
    </row>
    <row r="693" spans="1:18" x14ac:dyDescent="0.2">
      <c r="A693">
        <v>664</v>
      </c>
      <c r="B693" t="s">
        <v>52</v>
      </c>
      <c r="C693" t="s">
        <v>2042</v>
      </c>
      <c r="D693">
        <v>-0.83399999999999996</v>
      </c>
      <c r="E693">
        <v>9</v>
      </c>
      <c r="F693" t="s">
        <v>1095</v>
      </c>
      <c r="G693" t="s">
        <v>64</v>
      </c>
      <c r="H693" t="s">
        <v>65</v>
      </c>
      <c r="I693" t="s">
        <v>207</v>
      </c>
      <c r="J693" t="s">
        <v>2043</v>
      </c>
      <c r="L693" t="s">
        <v>2908</v>
      </c>
      <c r="N693" t="str">
        <f t="shared" si="9"/>
        <v xml:space="preserve"> 1.9321</v>
      </c>
      <c r="Q693">
        <v>1.9320999999999999</v>
      </c>
      <c r="R693">
        <v>9</v>
      </c>
    </row>
    <row r="694" spans="1:18" x14ac:dyDescent="0.2">
      <c r="A694">
        <v>665</v>
      </c>
      <c r="B694" t="s">
        <v>156</v>
      </c>
      <c r="C694" t="s">
        <v>2044</v>
      </c>
      <c r="D694">
        <v>-0.83199999999999996</v>
      </c>
      <c r="E694">
        <v>9</v>
      </c>
      <c r="F694" t="s">
        <v>1095</v>
      </c>
      <c r="G694" t="s">
        <v>64</v>
      </c>
      <c r="H694" t="s">
        <v>65</v>
      </c>
      <c r="I694" t="s">
        <v>207</v>
      </c>
      <c r="J694" t="s">
        <v>2045</v>
      </c>
      <c r="L694" t="s">
        <v>2909</v>
      </c>
      <c r="N694" t="str">
        <f t="shared" si="9"/>
        <v xml:space="preserve"> 1.9532</v>
      </c>
      <c r="Q694">
        <v>1.9532</v>
      </c>
      <c r="R694">
        <v>9</v>
      </c>
    </row>
    <row r="695" spans="1:18" x14ac:dyDescent="0.2">
      <c r="A695">
        <v>666</v>
      </c>
      <c r="B695" t="s">
        <v>160</v>
      </c>
      <c r="C695" t="s">
        <v>2046</v>
      </c>
      <c r="D695">
        <v>-0.84799999999999998</v>
      </c>
      <c r="E695">
        <v>9</v>
      </c>
      <c r="F695" t="s">
        <v>1071</v>
      </c>
      <c r="G695" t="s">
        <v>64</v>
      </c>
      <c r="H695" t="s">
        <v>65</v>
      </c>
      <c r="I695" t="s">
        <v>207</v>
      </c>
      <c r="J695" t="s">
        <v>400</v>
      </c>
      <c r="L695" t="s">
        <v>2910</v>
      </c>
      <c r="N695" t="str">
        <f t="shared" si="9"/>
        <v xml:space="preserve"> 1.8244</v>
      </c>
      <c r="Q695">
        <v>1.8244</v>
      </c>
      <c r="R695">
        <v>9</v>
      </c>
    </row>
    <row r="696" spans="1:18" x14ac:dyDescent="0.2">
      <c r="A696">
        <v>667</v>
      </c>
      <c r="B696" t="s">
        <v>194</v>
      </c>
      <c r="C696" t="s">
        <v>2047</v>
      </c>
      <c r="D696">
        <v>-0.78200000000000003</v>
      </c>
      <c r="E696">
        <v>9</v>
      </c>
      <c r="F696" t="s">
        <v>1288</v>
      </c>
      <c r="G696" t="s">
        <v>33</v>
      </c>
      <c r="H696" t="s">
        <v>34</v>
      </c>
      <c r="I696" t="s">
        <v>207</v>
      </c>
      <c r="J696" t="s">
        <v>2048</v>
      </c>
      <c r="L696" t="s">
        <v>2911</v>
      </c>
      <c r="N696" t="str">
        <f t="shared" si="9"/>
        <v xml:space="preserve"> 1.2728</v>
      </c>
      <c r="Q696">
        <v>1.2727999999999999</v>
      </c>
      <c r="R696">
        <v>9</v>
      </c>
    </row>
    <row r="697" spans="1:18" x14ac:dyDescent="0.2">
      <c r="A697">
        <v>668</v>
      </c>
      <c r="B697" t="s">
        <v>52</v>
      </c>
      <c r="C697" t="s">
        <v>2049</v>
      </c>
      <c r="D697">
        <v>-0.40699999999999997</v>
      </c>
      <c r="E697">
        <v>7</v>
      </c>
      <c r="F697" t="s">
        <v>912</v>
      </c>
      <c r="G697" t="s">
        <v>64</v>
      </c>
      <c r="H697" t="s">
        <v>40</v>
      </c>
      <c r="I697" t="s">
        <v>207</v>
      </c>
      <c r="J697" t="s">
        <v>2050</v>
      </c>
      <c r="L697" t="s">
        <v>2912</v>
      </c>
      <c r="N697" t="str">
        <f t="shared" si="9"/>
        <v xml:space="preserve"> 1.2873</v>
      </c>
      <c r="Q697">
        <v>1.2873000000000001</v>
      </c>
      <c r="R697">
        <v>7</v>
      </c>
    </row>
    <row r="698" spans="1:18" x14ac:dyDescent="0.2">
      <c r="A698">
        <v>669</v>
      </c>
      <c r="B698" t="s">
        <v>113</v>
      </c>
      <c r="C698" t="s">
        <v>2051</v>
      </c>
      <c r="D698">
        <v>-0.67600000000000005</v>
      </c>
      <c r="E698">
        <v>8</v>
      </c>
      <c r="F698" t="s">
        <v>1303</v>
      </c>
      <c r="G698" t="s">
        <v>64</v>
      </c>
      <c r="H698" t="s">
        <v>40</v>
      </c>
      <c r="I698" t="s">
        <v>207</v>
      </c>
      <c r="J698" t="s">
        <v>2052</v>
      </c>
      <c r="L698" t="s">
        <v>2913</v>
      </c>
      <c r="N698" t="str">
        <f t="shared" si="9"/>
        <v xml:space="preserve"> 1.3693</v>
      </c>
      <c r="Q698">
        <v>1.3693</v>
      </c>
      <c r="R698">
        <v>8</v>
      </c>
    </row>
    <row r="699" spans="1:18" x14ac:dyDescent="0.2">
      <c r="A699">
        <v>670</v>
      </c>
      <c r="B699" t="s">
        <v>97</v>
      </c>
      <c r="C699" t="s">
        <v>2053</v>
      </c>
      <c r="D699">
        <v>-0.32500000000000001</v>
      </c>
      <c r="E699">
        <v>7</v>
      </c>
      <c r="F699" t="s">
        <v>901</v>
      </c>
      <c r="G699" t="s">
        <v>33</v>
      </c>
      <c r="H699" t="s">
        <v>40</v>
      </c>
      <c r="I699" t="s">
        <v>207</v>
      </c>
      <c r="J699" t="s">
        <v>2054</v>
      </c>
      <c r="L699" t="s">
        <v>2914</v>
      </c>
      <c r="N699" t="str">
        <f t="shared" si="9"/>
        <v xml:space="preserve"> 1.1537</v>
      </c>
      <c r="Q699">
        <v>1.1536999999999999</v>
      </c>
      <c r="R699">
        <v>7</v>
      </c>
    </row>
    <row r="700" spans="1:18" x14ac:dyDescent="0.2">
      <c r="A700">
        <v>671</v>
      </c>
      <c r="B700" t="s">
        <v>118</v>
      </c>
      <c r="C700" t="s">
        <v>2055</v>
      </c>
      <c r="D700">
        <v>-0.875</v>
      </c>
      <c r="E700">
        <v>9</v>
      </c>
      <c r="F700" t="s">
        <v>1045</v>
      </c>
      <c r="G700" t="s">
        <v>64</v>
      </c>
      <c r="H700" t="s">
        <v>65</v>
      </c>
      <c r="I700" t="s">
        <v>207</v>
      </c>
      <c r="J700" t="s">
        <v>2056</v>
      </c>
      <c r="L700" t="s">
        <v>2915</v>
      </c>
      <c r="N700" t="str">
        <f t="shared" si="9"/>
        <v xml:space="preserve"> 0.9345</v>
      </c>
      <c r="Q700">
        <v>0.9345</v>
      </c>
      <c r="R700">
        <v>9</v>
      </c>
    </row>
    <row r="701" spans="1:18" x14ac:dyDescent="0.2">
      <c r="A701">
        <v>672</v>
      </c>
      <c r="B701" t="s">
        <v>113</v>
      </c>
      <c r="C701" t="s">
        <v>2057</v>
      </c>
      <c r="D701">
        <v>-0.17</v>
      </c>
      <c r="E701">
        <v>6</v>
      </c>
      <c r="F701" t="s">
        <v>1030</v>
      </c>
      <c r="G701" t="s">
        <v>64</v>
      </c>
      <c r="H701" t="s">
        <v>40</v>
      </c>
      <c r="I701" t="s">
        <v>207</v>
      </c>
      <c r="J701" t="s">
        <v>2058</v>
      </c>
      <c r="L701" t="s">
        <v>2916</v>
      </c>
      <c r="N701" t="str">
        <f t="shared" si="9"/>
        <v xml:space="preserve"> 1.1838</v>
      </c>
      <c r="Q701">
        <v>1.1838</v>
      </c>
      <c r="R701">
        <v>6</v>
      </c>
    </row>
    <row r="702" spans="1:18" x14ac:dyDescent="0.2">
      <c r="A702">
        <v>673</v>
      </c>
      <c r="B702" t="s">
        <v>108</v>
      </c>
      <c r="C702" t="s">
        <v>2059</v>
      </c>
      <c r="D702">
        <v>-0.83499999999999996</v>
      </c>
      <c r="E702">
        <v>9</v>
      </c>
      <c r="F702" t="s">
        <v>1095</v>
      </c>
      <c r="G702" t="s">
        <v>64</v>
      </c>
      <c r="H702" t="s">
        <v>65</v>
      </c>
      <c r="I702" t="s">
        <v>207</v>
      </c>
      <c r="J702" t="s">
        <v>2060</v>
      </c>
      <c r="L702" t="s">
        <v>2917</v>
      </c>
      <c r="N702" t="str">
        <f t="shared" si="9"/>
        <v xml:space="preserve"> 0.4628</v>
      </c>
      <c r="Q702">
        <v>0.46279999999999999</v>
      </c>
      <c r="R702">
        <v>9</v>
      </c>
    </row>
    <row r="703" spans="1:18" x14ac:dyDescent="0.2">
      <c r="A703">
        <v>674</v>
      </c>
      <c r="B703" t="s">
        <v>118</v>
      </c>
      <c r="C703" t="s">
        <v>2061</v>
      </c>
      <c r="D703">
        <v>-0.46300000000000002</v>
      </c>
      <c r="E703">
        <v>7</v>
      </c>
      <c r="F703" t="s">
        <v>1187</v>
      </c>
      <c r="G703" t="s">
        <v>64</v>
      </c>
      <c r="H703" t="s">
        <v>40</v>
      </c>
      <c r="I703" t="s">
        <v>207</v>
      </c>
      <c r="J703" t="s">
        <v>2062</v>
      </c>
      <c r="L703" t="s">
        <v>2918</v>
      </c>
      <c r="N703" t="str">
        <f t="shared" si="9"/>
        <v xml:space="preserve"> 0.3144</v>
      </c>
      <c r="Q703">
        <v>0.31440000000000001</v>
      </c>
      <c r="R703">
        <v>7</v>
      </c>
    </row>
    <row r="704" spans="1:18" x14ac:dyDescent="0.2">
      <c r="A704">
        <v>675</v>
      </c>
      <c r="B704" t="s">
        <v>37</v>
      </c>
      <c r="C704" t="s">
        <v>2063</v>
      </c>
      <c r="D704">
        <v>-0.85199999999999998</v>
      </c>
      <c r="E704">
        <v>9</v>
      </c>
      <c r="F704" t="s">
        <v>891</v>
      </c>
      <c r="G704" t="s">
        <v>33</v>
      </c>
      <c r="H704" t="s">
        <v>34</v>
      </c>
      <c r="I704" t="s">
        <v>207</v>
      </c>
      <c r="J704" t="s">
        <v>2064</v>
      </c>
      <c r="L704" t="s">
        <v>2919</v>
      </c>
      <c r="N704" t="str">
        <f t="shared" si="9"/>
        <v xml:space="preserve"> 0.9387</v>
      </c>
      <c r="Q704">
        <v>0.93869999999999998</v>
      </c>
      <c r="R704">
        <v>9</v>
      </c>
    </row>
    <row r="705" spans="1:18" x14ac:dyDescent="0.2">
      <c r="A705">
        <v>676</v>
      </c>
      <c r="B705" t="s">
        <v>113</v>
      </c>
      <c r="C705" t="s">
        <v>2065</v>
      </c>
      <c r="D705">
        <v>-0.40500000000000003</v>
      </c>
      <c r="E705">
        <v>7</v>
      </c>
      <c r="F705" t="s">
        <v>912</v>
      </c>
      <c r="G705" t="s">
        <v>64</v>
      </c>
      <c r="H705" t="s">
        <v>40</v>
      </c>
      <c r="I705" t="s">
        <v>207</v>
      </c>
      <c r="J705" t="s">
        <v>2066</v>
      </c>
      <c r="L705" t="s">
        <v>2920</v>
      </c>
      <c r="N705" t="str">
        <f t="shared" si="9"/>
        <v xml:space="preserve"> 1.1113</v>
      </c>
      <c r="Q705">
        <v>1.1113</v>
      </c>
      <c r="R705">
        <v>7</v>
      </c>
    </row>
    <row r="706" spans="1:18" x14ac:dyDescent="0.2">
      <c r="A706">
        <v>677</v>
      </c>
      <c r="B706" t="s">
        <v>57</v>
      </c>
      <c r="C706" t="s">
        <v>2067</v>
      </c>
      <c r="D706">
        <v>-0.32300000000000001</v>
      </c>
      <c r="E706">
        <v>7</v>
      </c>
      <c r="F706" t="s">
        <v>901</v>
      </c>
      <c r="G706" t="s">
        <v>64</v>
      </c>
      <c r="H706" t="s">
        <v>40</v>
      </c>
      <c r="I706" t="s">
        <v>207</v>
      </c>
      <c r="J706" t="s">
        <v>2068</v>
      </c>
      <c r="L706" t="s">
        <v>2921</v>
      </c>
      <c r="N706" t="str">
        <f t="shared" si="9"/>
        <v xml:space="preserve"> 1.1349</v>
      </c>
      <c r="Q706">
        <v>1.1349</v>
      </c>
      <c r="R706">
        <v>7</v>
      </c>
    </row>
    <row r="707" spans="1:18" x14ac:dyDescent="0.2">
      <c r="A707">
        <v>678</v>
      </c>
      <c r="B707" t="s">
        <v>101</v>
      </c>
      <c r="C707" t="s">
        <v>2069</v>
      </c>
      <c r="D707">
        <v>-0.748</v>
      </c>
      <c r="E707">
        <v>9</v>
      </c>
      <c r="F707" t="s">
        <v>1038</v>
      </c>
      <c r="G707" t="s">
        <v>33</v>
      </c>
      <c r="H707" t="s">
        <v>34</v>
      </c>
      <c r="I707" t="s">
        <v>207</v>
      </c>
      <c r="J707" t="s">
        <v>2070</v>
      </c>
      <c r="L707" t="s">
        <v>2922</v>
      </c>
      <c r="N707" t="str">
        <f t="shared" si="9"/>
        <v xml:space="preserve"> 1.5825</v>
      </c>
      <c r="Q707">
        <v>1.5825</v>
      </c>
      <c r="R707">
        <v>9</v>
      </c>
    </row>
    <row r="708" spans="1:18" x14ac:dyDescent="0.2">
      <c r="A708">
        <v>679</v>
      </c>
      <c r="B708" t="s">
        <v>156</v>
      </c>
      <c r="C708" t="s">
        <v>2071</v>
      </c>
      <c r="D708">
        <v>-0.42099999999999999</v>
      </c>
      <c r="E708">
        <v>7</v>
      </c>
      <c r="F708" t="s">
        <v>912</v>
      </c>
      <c r="G708" t="s">
        <v>33</v>
      </c>
      <c r="H708" t="s">
        <v>40</v>
      </c>
      <c r="I708" t="s">
        <v>469</v>
      </c>
      <c r="J708" t="s">
        <v>2072</v>
      </c>
      <c r="L708" t="s">
        <v>2923</v>
      </c>
      <c r="N708" t="str">
        <f t="shared" si="9"/>
        <v xml:space="preserve"> 1.5425</v>
      </c>
      <c r="Q708">
        <v>1.5425</v>
      </c>
      <c r="R708">
        <v>7</v>
      </c>
    </row>
    <row r="709" spans="1:18" x14ac:dyDescent="0.2">
      <c r="A709">
        <v>680</v>
      </c>
      <c r="B709" t="s">
        <v>97</v>
      </c>
      <c r="C709" t="s">
        <v>2073</v>
      </c>
      <c r="D709">
        <v>0.23</v>
      </c>
      <c r="E709">
        <v>5</v>
      </c>
      <c r="F709" t="s">
        <v>783</v>
      </c>
      <c r="G709" t="s">
        <v>33</v>
      </c>
      <c r="H709" t="s">
        <v>40</v>
      </c>
      <c r="I709" t="s">
        <v>861</v>
      </c>
      <c r="J709" t="s">
        <v>2074</v>
      </c>
      <c r="L709" t="s">
        <v>2924</v>
      </c>
      <c r="N709" t="str">
        <f t="shared" si="9"/>
        <v xml:space="preserve"> 1.9042</v>
      </c>
      <c r="Q709">
        <v>1.9041999999999999</v>
      </c>
      <c r="R709">
        <v>5</v>
      </c>
    </row>
    <row r="710" spans="1:18" x14ac:dyDescent="0.2">
      <c r="A710">
        <v>681</v>
      </c>
      <c r="B710" t="s">
        <v>74</v>
      </c>
      <c r="C710" t="s">
        <v>2075</v>
      </c>
      <c r="D710">
        <v>-0.65400000000000003</v>
      </c>
      <c r="E710">
        <v>8</v>
      </c>
      <c r="F710" t="s">
        <v>896</v>
      </c>
      <c r="G710" t="s">
        <v>33</v>
      </c>
      <c r="H710" t="s">
        <v>34</v>
      </c>
      <c r="I710" t="s">
        <v>861</v>
      </c>
      <c r="J710" t="s">
        <v>2076</v>
      </c>
      <c r="L710" t="s">
        <v>2925</v>
      </c>
      <c r="N710" t="str">
        <f t="shared" si="9"/>
        <v xml:space="preserve"> 2.0371</v>
      </c>
      <c r="Q710">
        <v>2.0371000000000001</v>
      </c>
      <c r="R710">
        <v>8</v>
      </c>
    </row>
    <row r="711" spans="1:18" x14ac:dyDescent="0.2">
      <c r="A711">
        <v>682</v>
      </c>
      <c r="B711" t="s">
        <v>123</v>
      </c>
      <c r="C711" t="s">
        <v>2077</v>
      </c>
      <c r="D711">
        <v>-0.91600000000000004</v>
      </c>
      <c r="E711">
        <v>9</v>
      </c>
      <c r="F711" t="s">
        <v>888</v>
      </c>
      <c r="G711" t="s">
        <v>33</v>
      </c>
      <c r="H711" t="s">
        <v>34</v>
      </c>
      <c r="I711" t="s">
        <v>861</v>
      </c>
      <c r="J711" t="s">
        <v>1315</v>
      </c>
      <c r="L711" t="s">
        <v>2926</v>
      </c>
      <c r="N711" t="str">
        <f t="shared" ref="N711:N771" si="10">RIGHT((LEFT(L711,11)),7)</f>
        <v xml:space="preserve"> 0.9939</v>
      </c>
      <c r="Q711">
        <v>0.99390000000000001</v>
      </c>
      <c r="R711">
        <v>9</v>
      </c>
    </row>
    <row r="712" spans="1:18" x14ac:dyDescent="0.2">
      <c r="A712">
        <v>683</v>
      </c>
      <c r="B712" t="s">
        <v>108</v>
      </c>
      <c r="C712" t="s">
        <v>2078</v>
      </c>
      <c r="D712">
        <v>0.13700000000000001</v>
      </c>
      <c r="E712">
        <v>5</v>
      </c>
      <c r="F712" t="s">
        <v>1143</v>
      </c>
      <c r="G712" t="s">
        <v>64</v>
      </c>
      <c r="H712" t="s">
        <v>40</v>
      </c>
      <c r="I712" t="s">
        <v>861</v>
      </c>
      <c r="J712" t="s">
        <v>2079</v>
      </c>
      <c r="L712" t="s">
        <v>2927</v>
      </c>
      <c r="N712" t="str">
        <f t="shared" si="10"/>
        <v xml:space="preserve"> 1.0986</v>
      </c>
      <c r="Q712">
        <v>1.0986</v>
      </c>
      <c r="R712">
        <v>5</v>
      </c>
    </row>
    <row r="713" spans="1:18" x14ac:dyDescent="0.2">
      <c r="A713">
        <v>684</v>
      </c>
      <c r="B713" t="s">
        <v>108</v>
      </c>
      <c r="C713" t="s">
        <v>2080</v>
      </c>
      <c r="D713">
        <v>-0.83299999999999996</v>
      </c>
      <c r="E713">
        <v>9</v>
      </c>
      <c r="F713" t="s">
        <v>1095</v>
      </c>
      <c r="G713" t="s">
        <v>33</v>
      </c>
      <c r="H713" t="s">
        <v>34</v>
      </c>
      <c r="I713" t="s">
        <v>469</v>
      </c>
      <c r="J713" t="s">
        <v>2081</v>
      </c>
      <c r="L713" t="s">
        <v>2928</v>
      </c>
      <c r="N713" t="str">
        <f t="shared" si="10"/>
        <v xml:space="preserve"> 1.1789</v>
      </c>
      <c r="Q713">
        <v>1.1789000000000001</v>
      </c>
      <c r="R713">
        <v>9</v>
      </c>
    </row>
    <row r="714" spans="1:18" x14ac:dyDescent="0.2">
      <c r="A714">
        <v>685</v>
      </c>
      <c r="B714" t="s">
        <v>52</v>
      </c>
      <c r="C714" t="s">
        <v>2082</v>
      </c>
      <c r="D714">
        <v>-0.74</v>
      </c>
      <c r="E714">
        <v>9</v>
      </c>
      <c r="F714" t="s">
        <v>1038</v>
      </c>
      <c r="G714" t="s">
        <v>64</v>
      </c>
      <c r="H714" t="s">
        <v>65</v>
      </c>
      <c r="I714" t="s">
        <v>469</v>
      </c>
      <c r="J714" t="s">
        <v>2083</v>
      </c>
      <c r="L714" t="s">
        <v>2929</v>
      </c>
      <c r="N714" t="str">
        <f t="shared" si="10"/>
        <v xml:space="preserve"> 1.0826</v>
      </c>
      <c r="Q714">
        <v>1.0826</v>
      </c>
      <c r="R714">
        <v>9</v>
      </c>
    </row>
    <row r="715" spans="1:18" x14ac:dyDescent="0.2">
      <c r="A715">
        <v>686</v>
      </c>
      <c r="B715" t="s">
        <v>94</v>
      </c>
      <c r="C715" t="s">
        <v>2084</v>
      </c>
      <c r="D715">
        <v>-0.71599999999999997</v>
      </c>
      <c r="E715">
        <v>8</v>
      </c>
      <c r="F715" t="s">
        <v>1062</v>
      </c>
      <c r="G715" t="s">
        <v>64</v>
      </c>
      <c r="H715" t="s">
        <v>40</v>
      </c>
      <c r="I715" t="s">
        <v>469</v>
      </c>
      <c r="J715" t="s">
        <v>2085</v>
      </c>
      <c r="L715" t="s">
        <v>2930</v>
      </c>
      <c r="N715" t="str">
        <f t="shared" si="10"/>
        <v xml:space="preserve"> 0.7400</v>
      </c>
      <c r="Q715">
        <v>0.74</v>
      </c>
      <c r="R715">
        <v>8</v>
      </c>
    </row>
    <row r="716" spans="1:18" x14ac:dyDescent="0.2">
      <c r="A716">
        <v>687</v>
      </c>
      <c r="B716" t="s">
        <v>43</v>
      </c>
      <c r="C716" t="s">
        <v>2086</v>
      </c>
      <c r="D716">
        <v>-0.80600000000000005</v>
      </c>
      <c r="E716">
        <v>9</v>
      </c>
      <c r="F716" t="s">
        <v>1208</v>
      </c>
      <c r="G716" t="s">
        <v>64</v>
      </c>
      <c r="H716" t="s">
        <v>65</v>
      </c>
      <c r="I716" t="s">
        <v>469</v>
      </c>
      <c r="J716" t="s">
        <v>2087</v>
      </c>
      <c r="L716" t="s">
        <v>2931</v>
      </c>
      <c r="N716" t="str">
        <f t="shared" si="10"/>
        <v xml:space="preserve"> 1.1257</v>
      </c>
      <c r="Q716">
        <v>1.1256999999999999</v>
      </c>
      <c r="R716">
        <v>9</v>
      </c>
    </row>
    <row r="717" spans="1:18" x14ac:dyDescent="0.2">
      <c r="A717">
        <v>688</v>
      </c>
      <c r="B717" t="s">
        <v>94</v>
      </c>
      <c r="C717" t="s">
        <v>2088</v>
      </c>
      <c r="D717">
        <v>-0.39600000000000002</v>
      </c>
      <c r="E717">
        <v>7</v>
      </c>
      <c r="F717" t="s">
        <v>912</v>
      </c>
      <c r="G717" t="s">
        <v>64</v>
      </c>
      <c r="H717" t="s">
        <v>40</v>
      </c>
      <c r="I717" t="s">
        <v>469</v>
      </c>
      <c r="J717" t="s">
        <v>2089</v>
      </c>
      <c r="L717" t="s">
        <v>2932</v>
      </c>
      <c r="N717" t="str">
        <f t="shared" si="10"/>
        <v xml:space="preserve"> 0.8684</v>
      </c>
      <c r="Q717">
        <v>0.86839999999999995</v>
      </c>
      <c r="R717">
        <v>7</v>
      </c>
    </row>
    <row r="718" spans="1:18" x14ac:dyDescent="0.2">
      <c r="A718">
        <v>689</v>
      </c>
      <c r="B718" t="s">
        <v>113</v>
      </c>
      <c r="C718" t="s">
        <v>2090</v>
      </c>
      <c r="D718">
        <v>-0.621</v>
      </c>
      <c r="E718">
        <v>8</v>
      </c>
      <c r="F718" t="s">
        <v>906</v>
      </c>
      <c r="G718" t="s">
        <v>64</v>
      </c>
      <c r="H718" t="s">
        <v>40</v>
      </c>
      <c r="I718" t="s">
        <v>469</v>
      </c>
      <c r="J718" t="s">
        <v>2091</v>
      </c>
      <c r="L718" t="s">
        <v>2933</v>
      </c>
      <c r="N718" t="str">
        <f t="shared" si="10"/>
        <v xml:space="preserve"> 0.7931</v>
      </c>
      <c r="Q718">
        <v>0.79310000000000003</v>
      </c>
      <c r="R718">
        <v>8</v>
      </c>
    </row>
    <row r="719" spans="1:18" x14ac:dyDescent="0.2">
      <c r="A719">
        <v>690</v>
      </c>
      <c r="B719" t="s">
        <v>194</v>
      </c>
      <c r="C719" t="s">
        <v>2092</v>
      </c>
      <c r="D719">
        <v>-0.78200000000000003</v>
      </c>
      <c r="E719">
        <v>9</v>
      </c>
      <c r="F719" t="s">
        <v>1288</v>
      </c>
      <c r="G719" t="s">
        <v>33</v>
      </c>
      <c r="H719" t="s">
        <v>34</v>
      </c>
      <c r="I719" t="s">
        <v>469</v>
      </c>
      <c r="J719" t="s">
        <v>2093</v>
      </c>
      <c r="L719" t="s">
        <v>2934</v>
      </c>
      <c r="N719" t="str">
        <f t="shared" si="10"/>
        <v xml:space="preserve"> 0.4627</v>
      </c>
      <c r="Q719">
        <v>0.4627</v>
      </c>
      <c r="R719">
        <v>9</v>
      </c>
    </row>
    <row r="720" spans="1:18" x14ac:dyDescent="0.2">
      <c r="A720">
        <v>691</v>
      </c>
      <c r="B720" t="s">
        <v>52</v>
      </c>
      <c r="C720" t="s">
        <v>2094</v>
      </c>
      <c r="D720">
        <v>-0.34899999999999998</v>
      </c>
      <c r="E720">
        <v>7</v>
      </c>
      <c r="F720" t="s">
        <v>901</v>
      </c>
      <c r="G720" t="s">
        <v>64</v>
      </c>
      <c r="H720" t="s">
        <v>40</v>
      </c>
      <c r="I720" t="s">
        <v>469</v>
      </c>
      <c r="J720" t="s">
        <v>2095</v>
      </c>
      <c r="L720" t="s">
        <v>2935</v>
      </c>
      <c r="N720" t="str">
        <f t="shared" si="10"/>
        <v xml:space="preserve"> 1.1292</v>
      </c>
      <c r="Q720">
        <v>1.1292</v>
      </c>
      <c r="R720">
        <v>7</v>
      </c>
    </row>
    <row r="721" spans="1:18" x14ac:dyDescent="0.2">
      <c r="A721">
        <v>692</v>
      </c>
      <c r="B721" t="s">
        <v>113</v>
      </c>
      <c r="C721" t="s">
        <v>2096</v>
      </c>
      <c r="D721">
        <v>0.626</v>
      </c>
      <c r="E721">
        <v>4</v>
      </c>
      <c r="F721" t="s">
        <v>682</v>
      </c>
      <c r="G721" t="s">
        <v>64</v>
      </c>
      <c r="H721" t="s">
        <v>40</v>
      </c>
      <c r="I721" t="s">
        <v>469</v>
      </c>
      <c r="J721" t="s">
        <v>2097</v>
      </c>
      <c r="L721" t="s">
        <v>2936</v>
      </c>
      <c r="N721" t="str">
        <f t="shared" si="10"/>
        <v xml:space="preserve"> 1.6577</v>
      </c>
      <c r="Q721">
        <v>1.6577</v>
      </c>
      <c r="R721">
        <v>4</v>
      </c>
    </row>
    <row r="722" spans="1:18" x14ac:dyDescent="0.2">
      <c r="A722">
        <v>693</v>
      </c>
      <c r="B722" t="s">
        <v>233</v>
      </c>
      <c r="C722" t="s">
        <v>2098</v>
      </c>
      <c r="D722">
        <v>-0.39800000000000002</v>
      </c>
      <c r="E722">
        <v>7</v>
      </c>
      <c r="F722" t="s">
        <v>740</v>
      </c>
      <c r="G722" t="s">
        <v>64</v>
      </c>
      <c r="H722" t="s">
        <v>40</v>
      </c>
      <c r="I722" t="s">
        <v>469</v>
      </c>
      <c r="J722" t="s">
        <v>2099</v>
      </c>
      <c r="L722" t="s">
        <v>2937</v>
      </c>
      <c r="N722" t="str">
        <f t="shared" si="10"/>
        <v xml:space="preserve"> 1.4752</v>
      </c>
      <c r="Q722">
        <v>1.4752000000000001</v>
      </c>
      <c r="R722">
        <v>7</v>
      </c>
    </row>
    <row r="723" spans="1:18" x14ac:dyDescent="0.2">
      <c r="A723">
        <v>694</v>
      </c>
      <c r="B723" t="s">
        <v>74</v>
      </c>
      <c r="C723" t="s">
        <v>2100</v>
      </c>
      <c r="D723">
        <v>-0.71199999999999997</v>
      </c>
      <c r="E723">
        <v>8</v>
      </c>
      <c r="F723" t="s">
        <v>1217</v>
      </c>
      <c r="G723" t="s">
        <v>33</v>
      </c>
      <c r="H723" t="s">
        <v>34</v>
      </c>
      <c r="I723" t="s">
        <v>469</v>
      </c>
      <c r="J723" t="s">
        <v>2101</v>
      </c>
      <c r="L723" t="s">
        <v>2938</v>
      </c>
      <c r="N723" t="str">
        <f t="shared" si="10"/>
        <v xml:space="preserve"> 1.4840</v>
      </c>
      <c r="Q723">
        <v>1.484</v>
      </c>
      <c r="R723">
        <v>8</v>
      </c>
    </row>
    <row r="724" spans="1:18" x14ac:dyDescent="0.2">
      <c r="A724">
        <v>695</v>
      </c>
      <c r="B724" t="s">
        <v>113</v>
      </c>
      <c r="C724" t="s">
        <v>2102</v>
      </c>
      <c r="D724">
        <v>0.38100000000000001</v>
      </c>
      <c r="E724">
        <v>4</v>
      </c>
      <c r="F724" t="s">
        <v>744</v>
      </c>
      <c r="G724" t="s">
        <v>64</v>
      </c>
      <c r="H724" t="s">
        <v>40</v>
      </c>
      <c r="I724" t="s">
        <v>469</v>
      </c>
      <c r="J724" t="s">
        <v>2103</v>
      </c>
      <c r="L724" t="s">
        <v>2939</v>
      </c>
      <c r="N724" t="str">
        <f t="shared" si="10"/>
        <v xml:space="preserve"> 2.0731</v>
      </c>
      <c r="Q724">
        <v>2.0731000000000002</v>
      </c>
      <c r="R724">
        <v>4</v>
      </c>
    </row>
    <row r="725" spans="1:18" x14ac:dyDescent="0.2">
      <c r="A725">
        <v>696</v>
      </c>
      <c r="B725" t="s">
        <v>52</v>
      </c>
      <c r="C725" t="s">
        <v>2104</v>
      </c>
      <c r="D725">
        <v>-0.76900000000000002</v>
      </c>
      <c r="E725">
        <v>9</v>
      </c>
      <c r="F725" t="s">
        <v>1364</v>
      </c>
      <c r="G725" t="s">
        <v>64</v>
      </c>
      <c r="H725" t="s">
        <v>65</v>
      </c>
      <c r="I725" t="s">
        <v>469</v>
      </c>
      <c r="J725" t="s">
        <v>2105</v>
      </c>
      <c r="L725" t="s">
        <v>2940</v>
      </c>
      <c r="N725" t="str">
        <f t="shared" si="10"/>
        <v xml:space="preserve"> 2.2299</v>
      </c>
      <c r="Q725">
        <v>2.2299000000000002</v>
      </c>
      <c r="R725">
        <v>9</v>
      </c>
    </row>
    <row r="726" spans="1:18" x14ac:dyDescent="0.2">
      <c r="A726">
        <v>697</v>
      </c>
      <c r="B726" t="s">
        <v>52</v>
      </c>
      <c r="C726" t="s">
        <v>2106</v>
      </c>
      <c r="D726">
        <v>-0.67900000000000005</v>
      </c>
      <c r="E726">
        <v>8</v>
      </c>
      <c r="F726" t="s">
        <v>1224</v>
      </c>
      <c r="G726" t="s">
        <v>33</v>
      </c>
      <c r="H726" t="s">
        <v>34</v>
      </c>
      <c r="I726" t="s">
        <v>469</v>
      </c>
      <c r="J726" t="s">
        <v>2107</v>
      </c>
      <c r="L726" t="s">
        <v>2941</v>
      </c>
      <c r="N726" t="str">
        <f t="shared" si="10"/>
        <v xml:space="preserve"> 2.2081</v>
      </c>
      <c r="Q726">
        <v>2.2081</v>
      </c>
      <c r="R726">
        <v>8</v>
      </c>
    </row>
    <row r="727" spans="1:18" x14ac:dyDescent="0.2">
      <c r="A727">
        <v>698</v>
      </c>
      <c r="B727" t="s">
        <v>118</v>
      </c>
      <c r="C727" t="s">
        <v>2108</v>
      </c>
      <c r="D727">
        <v>-0.67800000000000005</v>
      </c>
      <c r="E727">
        <v>8</v>
      </c>
      <c r="F727" t="s">
        <v>1224</v>
      </c>
      <c r="G727" t="s">
        <v>64</v>
      </c>
      <c r="H727" t="s">
        <v>40</v>
      </c>
      <c r="I727" t="s">
        <v>469</v>
      </c>
      <c r="J727" t="s">
        <v>2109</v>
      </c>
      <c r="L727" t="s">
        <v>2942</v>
      </c>
      <c r="N727" t="str">
        <f t="shared" si="10"/>
        <v xml:space="preserve"> 2.5851</v>
      </c>
      <c r="Q727">
        <v>2.5851000000000002</v>
      </c>
      <c r="R727">
        <v>8</v>
      </c>
    </row>
    <row r="728" spans="1:18" x14ac:dyDescent="0.2">
      <c r="A728">
        <v>699</v>
      </c>
      <c r="B728" t="s">
        <v>113</v>
      </c>
      <c r="C728" t="s">
        <v>2110</v>
      </c>
      <c r="D728">
        <v>0.15</v>
      </c>
      <c r="E728">
        <v>5</v>
      </c>
      <c r="F728" t="s">
        <v>711</v>
      </c>
      <c r="G728" t="s">
        <v>64</v>
      </c>
      <c r="H728" t="s">
        <v>40</v>
      </c>
      <c r="I728" t="s">
        <v>469</v>
      </c>
      <c r="J728" t="s">
        <v>2111</v>
      </c>
      <c r="L728" t="s">
        <v>2943</v>
      </c>
      <c r="N728" t="str">
        <f t="shared" si="10"/>
        <v xml:space="preserve"> 3.0399</v>
      </c>
      <c r="Q728">
        <v>3.0398999999999998</v>
      </c>
      <c r="R728">
        <v>5</v>
      </c>
    </row>
    <row r="729" spans="1:18" x14ac:dyDescent="0.2">
      <c r="A729">
        <v>700</v>
      </c>
      <c r="B729" t="s">
        <v>43</v>
      </c>
      <c r="C729" t="s">
        <v>2112</v>
      </c>
      <c r="D729">
        <v>-0.63900000000000001</v>
      </c>
      <c r="E729">
        <v>8</v>
      </c>
      <c r="F729" t="s">
        <v>755</v>
      </c>
      <c r="G729" t="s">
        <v>64</v>
      </c>
      <c r="H729" t="s">
        <v>40</v>
      </c>
      <c r="I729" t="s">
        <v>469</v>
      </c>
      <c r="J729" t="s">
        <v>2113</v>
      </c>
      <c r="L729" t="s">
        <v>2944</v>
      </c>
      <c r="N729" t="str">
        <f t="shared" si="10"/>
        <v xml:space="preserve"> 2.8652</v>
      </c>
      <c r="Q729">
        <v>2.8652000000000002</v>
      </c>
      <c r="R729">
        <v>8</v>
      </c>
    </row>
    <row r="730" spans="1:18" x14ac:dyDescent="0.2">
      <c r="A730">
        <v>701</v>
      </c>
      <c r="B730" t="s">
        <v>142</v>
      </c>
      <c r="C730" t="s">
        <v>2114</v>
      </c>
      <c r="D730">
        <v>-0.64300000000000002</v>
      </c>
      <c r="E730">
        <v>8</v>
      </c>
      <c r="F730" t="s">
        <v>896</v>
      </c>
      <c r="G730" t="s">
        <v>64</v>
      </c>
      <c r="H730" t="s">
        <v>40</v>
      </c>
      <c r="I730" t="s">
        <v>469</v>
      </c>
      <c r="J730" t="s">
        <v>2115</v>
      </c>
      <c r="L730" t="s">
        <v>2945</v>
      </c>
      <c r="N730" t="str">
        <f t="shared" si="10"/>
        <v xml:space="preserve"> 3.6323</v>
      </c>
      <c r="Q730">
        <v>3.6322999999999999</v>
      </c>
      <c r="R730">
        <v>8</v>
      </c>
    </row>
    <row r="731" spans="1:18" x14ac:dyDescent="0.2">
      <c r="A731">
        <v>702</v>
      </c>
      <c r="B731" t="s">
        <v>156</v>
      </c>
      <c r="C731" t="s">
        <v>2116</v>
      </c>
      <c r="D731">
        <v>-0.193</v>
      </c>
      <c r="E731">
        <v>6</v>
      </c>
      <c r="F731" t="s">
        <v>720</v>
      </c>
      <c r="G731" t="s">
        <v>64</v>
      </c>
      <c r="H731" t="s">
        <v>40</v>
      </c>
      <c r="I731" t="s">
        <v>469</v>
      </c>
      <c r="J731" t="s">
        <v>2117</v>
      </c>
      <c r="L731" t="s">
        <v>2946</v>
      </c>
      <c r="N731" t="str">
        <f t="shared" si="10"/>
        <v xml:space="preserve"> 4.3159</v>
      </c>
      <c r="Q731">
        <v>4.3159000000000001</v>
      </c>
      <c r="R731">
        <v>6</v>
      </c>
    </row>
    <row r="732" spans="1:18" x14ac:dyDescent="0.2">
      <c r="A732">
        <v>703</v>
      </c>
      <c r="B732" t="s">
        <v>142</v>
      </c>
      <c r="C732" t="s">
        <v>2118</v>
      </c>
      <c r="D732">
        <v>-0.76900000000000002</v>
      </c>
      <c r="E732">
        <v>9</v>
      </c>
      <c r="F732" t="s">
        <v>1364</v>
      </c>
      <c r="G732" t="s">
        <v>64</v>
      </c>
      <c r="H732" t="s">
        <v>65</v>
      </c>
      <c r="I732" t="s">
        <v>861</v>
      </c>
      <c r="J732" t="s">
        <v>2119</v>
      </c>
      <c r="L732" t="s">
        <v>2947</v>
      </c>
      <c r="N732" t="str">
        <f t="shared" si="10"/>
        <v xml:space="preserve"> 4.2644</v>
      </c>
      <c r="Q732">
        <v>4.2644000000000002</v>
      </c>
      <c r="R732">
        <v>9</v>
      </c>
    </row>
    <row r="733" spans="1:18" x14ac:dyDescent="0.2">
      <c r="A733">
        <v>704</v>
      </c>
      <c r="B733" t="s">
        <v>94</v>
      </c>
      <c r="C733" t="s">
        <v>2120</v>
      </c>
      <c r="D733">
        <v>-0.89600000000000002</v>
      </c>
      <c r="E733">
        <v>9</v>
      </c>
      <c r="F733" t="s">
        <v>675</v>
      </c>
      <c r="G733" t="s">
        <v>64</v>
      </c>
      <c r="H733" t="s">
        <v>65</v>
      </c>
      <c r="I733" t="s">
        <v>936</v>
      </c>
      <c r="J733" t="s">
        <v>383</v>
      </c>
      <c r="L733" t="s">
        <v>2948</v>
      </c>
      <c r="N733" t="str">
        <f t="shared" si="10"/>
        <v xml:space="preserve"> 4.4377</v>
      </c>
      <c r="Q733">
        <v>4.4377000000000004</v>
      </c>
      <c r="R733">
        <v>9</v>
      </c>
    </row>
    <row r="734" spans="1:18" x14ac:dyDescent="0.2">
      <c r="A734">
        <v>705</v>
      </c>
      <c r="B734" t="s">
        <v>108</v>
      </c>
      <c r="C734" t="s">
        <v>2121</v>
      </c>
      <c r="D734">
        <v>-0.29799999999999999</v>
      </c>
      <c r="E734">
        <v>6</v>
      </c>
      <c r="F734" t="s">
        <v>885</v>
      </c>
      <c r="G734" t="s">
        <v>64</v>
      </c>
      <c r="H734" t="s">
        <v>40</v>
      </c>
      <c r="I734" t="s">
        <v>936</v>
      </c>
      <c r="J734" t="s">
        <v>2122</v>
      </c>
      <c r="L734" t="s">
        <v>2949</v>
      </c>
      <c r="N734" t="str">
        <f t="shared" si="10"/>
        <v xml:space="preserve"> 3.7812</v>
      </c>
      <c r="Q734">
        <v>3.7812000000000001</v>
      </c>
      <c r="R734">
        <v>6</v>
      </c>
    </row>
    <row r="735" spans="1:18" x14ac:dyDescent="0.2">
      <c r="A735">
        <v>706</v>
      </c>
      <c r="B735" t="s">
        <v>156</v>
      </c>
      <c r="C735" t="s">
        <v>2123</v>
      </c>
      <c r="D735">
        <v>-0.70899999999999996</v>
      </c>
      <c r="E735">
        <v>8</v>
      </c>
      <c r="F735" t="s">
        <v>1224</v>
      </c>
      <c r="G735" t="s">
        <v>64</v>
      </c>
      <c r="H735" t="s">
        <v>40</v>
      </c>
      <c r="I735" t="s">
        <v>936</v>
      </c>
      <c r="J735" t="s">
        <v>2124</v>
      </c>
      <c r="L735" t="s">
        <v>2950</v>
      </c>
      <c r="N735" t="str">
        <f t="shared" si="10"/>
        <v xml:space="preserve"> 5.0069</v>
      </c>
      <c r="Q735">
        <v>5.0068999999999999</v>
      </c>
      <c r="R735">
        <v>8</v>
      </c>
    </row>
    <row r="736" spans="1:18" x14ac:dyDescent="0.2">
      <c r="A736">
        <v>707</v>
      </c>
      <c r="B736" t="s">
        <v>94</v>
      </c>
      <c r="C736" t="s">
        <v>2125</v>
      </c>
      <c r="D736">
        <v>-0.41399999999999998</v>
      </c>
      <c r="E736">
        <v>7</v>
      </c>
      <c r="F736" t="s">
        <v>740</v>
      </c>
      <c r="G736" t="s">
        <v>64</v>
      </c>
      <c r="H736" t="s">
        <v>40</v>
      </c>
      <c r="I736" t="s">
        <v>936</v>
      </c>
      <c r="J736" t="s">
        <v>2126</v>
      </c>
      <c r="L736" t="s">
        <v>2951</v>
      </c>
      <c r="N736" t="str">
        <f t="shared" si="10"/>
        <v xml:space="preserve"> 6.5922</v>
      </c>
      <c r="Q736">
        <v>6.5922000000000001</v>
      </c>
      <c r="R736">
        <v>7</v>
      </c>
    </row>
    <row r="737" spans="1:18" x14ac:dyDescent="0.2">
      <c r="A737">
        <v>708</v>
      </c>
      <c r="B737" t="s">
        <v>118</v>
      </c>
      <c r="C737" t="s">
        <v>2127</v>
      </c>
      <c r="D737">
        <v>-0.82399999999999995</v>
      </c>
      <c r="E737">
        <v>9</v>
      </c>
      <c r="F737" t="s">
        <v>1100</v>
      </c>
      <c r="G737" t="s">
        <v>64</v>
      </c>
      <c r="H737" t="s">
        <v>65</v>
      </c>
      <c r="I737" t="s">
        <v>936</v>
      </c>
      <c r="J737" t="s">
        <v>2128</v>
      </c>
      <c r="L737" t="s">
        <v>2952</v>
      </c>
      <c r="N737" t="str">
        <f t="shared" si="10"/>
        <v xml:space="preserve"> 6.2682</v>
      </c>
      <c r="Q737">
        <v>6.2682000000000002</v>
      </c>
      <c r="R737">
        <v>9</v>
      </c>
    </row>
    <row r="738" spans="1:18" x14ac:dyDescent="0.2">
      <c r="A738">
        <v>709</v>
      </c>
      <c r="B738" t="s">
        <v>43</v>
      </c>
      <c r="C738" t="s">
        <v>2129</v>
      </c>
      <c r="D738">
        <v>3.9E-2</v>
      </c>
      <c r="E738">
        <v>5</v>
      </c>
      <c r="F738" t="s">
        <v>1247</v>
      </c>
      <c r="G738" t="s">
        <v>64</v>
      </c>
      <c r="H738" t="s">
        <v>40</v>
      </c>
      <c r="I738" t="s">
        <v>936</v>
      </c>
      <c r="J738" t="s">
        <v>2130</v>
      </c>
      <c r="L738" t="s">
        <v>2953</v>
      </c>
      <c r="N738" t="str">
        <f t="shared" si="10"/>
        <v xml:space="preserve"> 9.8051</v>
      </c>
      <c r="Q738">
        <v>9.8050999999999995</v>
      </c>
      <c r="R738">
        <v>5</v>
      </c>
    </row>
    <row r="739" spans="1:18" x14ac:dyDescent="0.2">
      <c r="A739">
        <v>710</v>
      </c>
      <c r="B739" t="s">
        <v>142</v>
      </c>
      <c r="C739" t="s">
        <v>2131</v>
      </c>
      <c r="D739">
        <v>-0.45500000000000002</v>
      </c>
      <c r="E739">
        <v>7</v>
      </c>
      <c r="F739" t="s">
        <v>1187</v>
      </c>
      <c r="G739" t="s">
        <v>64</v>
      </c>
      <c r="H739" t="s">
        <v>40</v>
      </c>
      <c r="I739" t="s">
        <v>936</v>
      </c>
      <c r="J739" t="s">
        <v>2132</v>
      </c>
      <c r="L739" t="s">
        <v>2954</v>
      </c>
      <c r="N739" t="str">
        <f t="shared" si="10"/>
        <v xml:space="preserve"> 12.961</v>
      </c>
      <c r="Q739">
        <v>12.961</v>
      </c>
      <c r="R739">
        <v>7</v>
      </c>
    </row>
    <row r="740" spans="1:18" x14ac:dyDescent="0.2">
      <c r="A740">
        <v>711</v>
      </c>
      <c r="B740" t="s">
        <v>108</v>
      </c>
      <c r="C740" t="s">
        <v>2133</v>
      </c>
      <c r="D740">
        <v>-0.63600000000000001</v>
      </c>
      <c r="E740">
        <v>8</v>
      </c>
      <c r="F740" t="s">
        <v>1800</v>
      </c>
      <c r="G740" t="s">
        <v>64</v>
      </c>
      <c r="H740" t="s">
        <v>40</v>
      </c>
      <c r="I740" t="s">
        <v>936</v>
      </c>
      <c r="J740" t="s">
        <v>2134</v>
      </c>
      <c r="L740" t="s">
        <v>2955</v>
      </c>
      <c r="N740" t="str">
        <f t="shared" si="10"/>
        <v xml:space="preserve"> 10.124</v>
      </c>
      <c r="Q740">
        <v>10.124000000000001</v>
      </c>
      <c r="R740">
        <v>8</v>
      </c>
    </row>
    <row r="741" spans="1:18" x14ac:dyDescent="0.2">
      <c r="A741">
        <v>712</v>
      </c>
      <c r="B741" t="s">
        <v>74</v>
      </c>
      <c r="C741" t="s">
        <v>2135</v>
      </c>
      <c r="D741">
        <v>-0.63900000000000001</v>
      </c>
      <c r="E741">
        <v>8</v>
      </c>
      <c r="F741" t="s">
        <v>906</v>
      </c>
      <c r="G741" t="s">
        <v>33</v>
      </c>
      <c r="H741" t="s">
        <v>34</v>
      </c>
      <c r="I741" t="s">
        <v>936</v>
      </c>
      <c r="J741" t="s">
        <v>2136</v>
      </c>
      <c r="L741" t="s">
        <v>2956</v>
      </c>
      <c r="N741" t="str">
        <f t="shared" si="10"/>
        <v xml:space="preserve"> 8.5579</v>
      </c>
      <c r="Q741">
        <v>8.5579000000000001</v>
      </c>
      <c r="R741">
        <v>8</v>
      </c>
    </row>
    <row r="742" spans="1:18" x14ac:dyDescent="0.2">
      <c r="A742">
        <v>713</v>
      </c>
      <c r="B742" t="s">
        <v>52</v>
      </c>
      <c r="C742" t="s">
        <v>2137</v>
      </c>
      <c r="D742">
        <v>-0.20499999999999999</v>
      </c>
      <c r="E742">
        <v>6</v>
      </c>
      <c r="F742" t="s">
        <v>726</v>
      </c>
      <c r="G742" t="s">
        <v>64</v>
      </c>
      <c r="H742" t="s">
        <v>40</v>
      </c>
      <c r="I742" t="s">
        <v>936</v>
      </c>
      <c r="J742" t="s">
        <v>2138</v>
      </c>
      <c r="L742" t="s">
        <v>2957</v>
      </c>
      <c r="N742" t="str">
        <f t="shared" si="10"/>
        <v xml:space="preserve"> 7.2512</v>
      </c>
      <c r="Q742">
        <v>7.2511999999999999</v>
      </c>
      <c r="R742">
        <v>6</v>
      </c>
    </row>
    <row r="743" spans="1:18" x14ac:dyDescent="0.2">
      <c r="A743">
        <v>714</v>
      </c>
      <c r="B743" t="s">
        <v>52</v>
      </c>
      <c r="C743" t="s">
        <v>2139</v>
      </c>
      <c r="D743">
        <v>0.379</v>
      </c>
      <c r="E743">
        <v>4</v>
      </c>
      <c r="F743" t="s">
        <v>690</v>
      </c>
      <c r="G743" t="s">
        <v>64</v>
      </c>
      <c r="H743" t="s">
        <v>40</v>
      </c>
      <c r="I743" t="s">
        <v>936</v>
      </c>
      <c r="J743" t="s">
        <v>2140</v>
      </c>
      <c r="L743" t="s">
        <v>2958</v>
      </c>
      <c r="N743" t="str">
        <f t="shared" si="10"/>
        <v xml:space="preserve"> 7.0800</v>
      </c>
      <c r="Q743">
        <v>7.08</v>
      </c>
      <c r="R743">
        <v>4</v>
      </c>
    </row>
    <row r="744" spans="1:18" x14ac:dyDescent="0.2">
      <c r="A744">
        <v>715</v>
      </c>
      <c r="B744" t="s">
        <v>101</v>
      </c>
      <c r="C744" t="s">
        <v>2141</v>
      </c>
      <c r="D744">
        <v>-0.82199999999999995</v>
      </c>
      <c r="E744">
        <v>9</v>
      </c>
      <c r="F744" t="s">
        <v>927</v>
      </c>
      <c r="G744" t="s">
        <v>64</v>
      </c>
      <c r="H744" t="s">
        <v>65</v>
      </c>
      <c r="I744" t="s">
        <v>936</v>
      </c>
      <c r="J744" t="s">
        <v>2142</v>
      </c>
      <c r="L744" t="s">
        <v>2959</v>
      </c>
      <c r="N744" t="str">
        <f t="shared" si="10"/>
        <v xml:space="preserve"> 5.3106</v>
      </c>
      <c r="Q744">
        <v>5.3106</v>
      </c>
      <c r="R744">
        <v>9</v>
      </c>
    </row>
    <row r="745" spans="1:18" x14ac:dyDescent="0.2">
      <c r="A745">
        <v>716</v>
      </c>
      <c r="B745" t="s">
        <v>142</v>
      </c>
      <c r="C745" t="s">
        <v>2143</v>
      </c>
      <c r="D745">
        <v>-0.82599999999999996</v>
      </c>
      <c r="E745">
        <v>9</v>
      </c>
      <c r="F745" t="s">
        <v>1100</v>
      </c>
      <c r="G745" t="s">
        <v>64</v>
      </c>
      <c r="H745" t="s">
        <v>65</v>
      </c>
      <c r="I745" t="s">
        <v>936</v>
      </c>
      <c r="J745" t="s">
        <v>1359</v>
      </c>
      <c r="L745" t="s">
        <v>2960</v>
      </c>
      <c r="N745" t="str">
        <f t="shared" si="10"/>
        <v xml:space="preserve"> 4.9800</v>
      </c>
      <c r="Q745">
        <v>4.9800000000000004</v>
      </c>
      <c r="R745">
        <v>9</v>
      </c>
    </row>
    <row r="746" spans="1:18" x14ac:dyDescent="0.2">
      <c r="A746">
        <v>717</v>
      </c>
      <c r="B746" t="s">
        <v>113</v>
      </c>
      <c r="C746" t="s">
        <v>2144</v>
      </c>
      <c r="D746">
        <v>-0.36699999999999999</v>
      </c>
      <c r="E746">
        <v>7</v>
      </c>
      <c r="F746" t="s">
        <v>781</v>
      </c>
      <c r="G746" t="s">
        <v>64</v>
      </c>
      <c r="H746" t="s">
        <v>40</v>
      </c>
      <c r="I746" t="s">
        <v>936</v>
      </c>
      <c r="J746" t="s">
        <v>2145</v>
      </c>
      <c r="L746" t="s">
        <v>2961</v>
      </c>
      <c r="N746" t="str">
        <f t="shared" si="10"/>
        <v xml:space="preserve"> 5.3042</v>
      </c>
      <c r="Q746">
        <v>5.3041999999999998</v>
      </c>
      <c r="R746">
        <v>7</v>
      </c>
    </row>
    <row r="747" spans="1:18" x14ac:dyDescent="0.2">
      <c r="A747">
        <v>718</v>
      </c>
      <c r="B747" t="s">
        <v>94</v>
      </c>
      <c r="C747" t="s">
        <v>2146</v>
      </c>
      <c r="D747">
        <v>-0.21</v>
      </c>
      <c r="E747">
        <v>6</v>
      </c>
      <c r="F747" t="s">
        <v>720</v>
      </c>
      <c r="G747" t="s">
        <v>64</v>
      </c>
      <c r="H747" t="s">
        <v>40</v>
      </c>
      <c r="I747" t="s">
        <v>936</v>
      </c>
      <c r="J747" t="s">
        <v>2147</v>
      </c>
      <c r="L747" t="s">
        <v>2962</v>
      </c>
      <c r="N747" t="str">
        <f t="shared" si="10"/>
        <v xml:space="preserve"> 4.7778</v>
      </c>
      <c r="Q747">
        <v>4.7778</v>
      </c>
      <c r="R747">
        <v>6</v>
      </c>
    </row>
    <row r="748" spans="1:18" x14ac:dyDescent="0.2">
      <c r="A748">
        <v>719</v>
      </c>
      <c r="B748" t="s">
        <v>52</v>
      </c>
      <c r="C748" t="s">
        <v>2148</v>
      </c>
      <c r="D748">
        <v>-0.82699999999999996</v>
      </c>
      <c r="E748">
        <v>9</v>
      </c>
      <c r="F748" t="s">
        <v>1100</v>
      </c>
      <c r="G748" t="s">
        <v>64</v>
      </c>
      <c r="H748" t="s">
        <v>65</v>
      </c>
      <c r="I748" t="s">
        <v>936</v>
      </c>
      <c r="J748" t="s">
        <v>2149</v>
      </c>
      <c r="L748" t="s">
        <v>2963</v>
      </c>
      <c r="N748" t="str">
        <f t="shared" si="10"/>
        <v xml:space="preserve"> 3.2264</v>
      </c>
      <c r="Q748">
        <v>3.2263999999999999</v>
      </c>
      <c r="R748">
        <v>9</v>
      </c>
    </row>
    <row r="749" spans="1:18" x14ac:dyDescent="0.2">
      <c r="A749">
        <v>720</v>
      </c>
      <c r="B749" t="s">
        <v>156</v>
      </c>
      <c r="C749" t="s">
        <v>2150</v>
      </c>
      <c r="D749">
        <v>-0.63700000000000001</v>
      </c>
      <c r="E749">
        <v>8</v>
      </c>
      <c r="F749" t="s">
        <v>1800</v>
      </c>
      <c r="G749" t="s">
        <v>64</v>
      </c>
      <c r="H749" t="s">
        <v>40</v>
      </c>
      <c r="I749" t="s">
        <v>936</v>
      </c>
      <c r="J749" t="s">
        <v>2151</v>
      </c>
      <c r="L749" t="s">
        <v>2964</v>
      </c>
      <c r="N749" t="str">
        <f t="shared" si="10"/>
        <v xml:space="preserve"> 2.8008</v>
      </c>
      <c r="Q749">
        <v>2.8008000000000002</v>
      </c>
      <c r="R749">
        <v>8</v>
      </c>
    </row>
    <row r="750" spans="1:18" x14ac:dyDescent="0.2">
      <c r="A750">
        <v>721</v>
      </c>
      <c r="B750" t="s">
        <v>52</v>
      </c>
      <c r="C750" t="s">
        <v>2152</v>
      </c>
      <c r="D750">
        <v>1.155</v>
      </c>
      <c r="E750">
        <v>3</v>
      </c>
      <c r="F750" t="s">
        <v>749</v>
      </c>
      <c r="G750" t="s">
        <v>64</v>
      </c>
      <c r="H750" t="s">
        <v>40</v>
      </c>
      <c r="I750" t="s">
        <v>936</v>
      </c>
      <c r="J750" t="s">
        <v>2153</v>
      </c>
      <c r="L750" t="s">
        <v>2965</v>
      </c>
      <c r="N750" t="str">
        <f t="shared" si="10"/>
        <v xml:space="preserve"> 3.0487</v>
      </c>
      <c r="Q750">
        <v>3.0487000000000002</v>
      </c>
      <c r="R750">
        <v>3</v>
      </c>
    </row>
    <row r="751" spans="1:18" x14ac:dyDescent="0.2">
      <c r="A751">
        <v>722</v>
      </c>
      <c r="B751" t="s">
        <v>52</v>
      </c>
      <c r="C751" t="s">
        <v>2154</v>
      </c>
      <c r="D751">
        <v>-0.622</v>
      </c>
      <c r="E751">
        <v>8</v>
      </c>
      <c r="F751" t="s">
        <v>909</v>
      </c>
      <c r="G751" t="s">
        <v>64</v>
      </c>
      <c r="H751" t="s">
        <v>40</v>
      </c>
      <c r="I751" t="s">
        <v>936</v>
      </c>
      <c r="J751" t="s">
        <v>2155</v>
      </c>
      <c r="L751" t="s">
        <v>2966</v>
      </c>
      <c r="N751" t="str">
        <f t="shared" si="10"/>
        <v xml:space="preserve"> 2.9123</v>
      </c>
      <c r="Q751">
        <v>2.9123000000000001</v>
      </c>
      <c r="R751">
        <v>8</v>
      </c>
    </row>
    <row r="752" spans="1:18" x14ac:dyDescent="0.2">
      <c r="A752">
        <v>723</v>
      </c>
      <c r="B752" t="s">
        <v>113</v>
      </c>
      <c r="C752" t="s">
        <v>2156</v>
      </c>
      <c r="D752">
        <v>-0.89800000000000002</v>
      </c>
      <c r="E752">
        <v>9</v>
      </c>
      <c r="F752" t="s">
        <v>675</v>
      </c>
      <c r="G752" t="s">
        <v>64</v>
      </c>
      <c r="H752" t="s">
        <v>65</v>
      </c>
      <c r="I752" t="s">
        <v>936</v>
      </c>
      <c r="J752" t="s">
        <v>981</v>
      </c>
      <c r="L752" t="s">
        <v>2967</v>
      </c>
      <c r="N752" t="str">
        <f t="shared" si="10"/>
        <v xml:space="preserve"> 1.7475</v>
      </c>
      <c r="Q752">
        <v>1.7475000000000001</v>
      </c>
      <c r="R752">
        <v>9</v>
      </c>
    </row>
    <row r="753" spans="1:18" x14ac:dyDescent="0.2">
      <c r="A753">
        <v>724</v>
      </c>
      <c r="B753" t="s">
        <v>52</v>
      </c>
      <c r="C753" t="s">
        <v>2157</v>
      </c>
      <c r="D753">
        <v>-0.45100000000000001</v>
      </c>
      <c r="E753">
        <v>7</v>
      </c>
      <c r="F753" t="s">
        <v>1187</v>
      </c>
      <c r="G753" t="s">
        <v>64</v>
      </c>
      <c r="H753" t="s">
        <v>40</v>
      </c>
      <c r="I753" t="s">
        <v>936</v>
      </c>
      <c r="J753" t="s">
        <v>2158</v>
      </c>
      <c r="L753" t="s">
        <v>2968</v>
      </c>
      <c r="N753" t="str">
        <f t="shared" si="10"/>
        <v xml:space="preserve"> 1.9372</v>
      </c>
      <c r="Q753">
        <v>1.9372</v>
      </c>
      <c r="R753">
        <v>7</v>
      </c>
    </row>
    <row r="754" spans="1:18" x14ac:dyDescent="0.2">
      <c r="A754">
        <v>725</v>
      </c>
      <c r="B754" t="s">
        <v>113</v>
      </c>
      <c r="C754" t="s">
        <v>2159</v>
      </c>
      <c r="D754">
        <v>2.637</v>
      </c>
      <c r="E754">
        <v>1</v>
      </c>
      <c r="F754" t="s">
        <v>684</v>
      </c>
      <c r="G754" t="s">
        <v>64</v>
      </c>
      <c r="H754" t="s">
        <v>40</v>
      </c>
      <c r="I754" t="s">
        <v>936</v>
      </c>
      <c r="J754" t="s">
        <v>2160</v>
      </c>
      <c r="L754" t="s">
        <v>2969</v>
      </c>
      <c r="N754" t="str">
        <f t="shared" si="10"/>
        <v xml:space="preserve"> 2.4121</v>
      </c>
      <c r="Q754">
        <v>2.4121000000000001</v>
      </c>
      <c r="R754">
        <v>1</v>
      </c>
    </row>
    <row r="755" spans="1:18" x14ac:dyDescent="0.2">
      <c r="A755">
        <v>726</v>
      </c>
      <c r="B755" t="s">
        <v>43</v>
      </c>
      <c r="C755" t="s">
        <v>2161</v>
      </c>
      <c r="D755">
        <v>-0.89700000000000002</v>
      </c>
      <c r="E755">
        <v>9</v>
      </c>
      <c r="F755" t="s">
        <v>675</v>
      </c>
      <c r="G755" t="s">
        <v>64</v>
      </c>
      <c r="H755" t="s">
        <v>65</v>
      </c>
      <c r="I755" t="s">
        <v>936</v>
      </c>
      <c r="J755" t="s">
        <v>894</v>
      </c>
      <c r="L755" t="s">
        <v>2970</v>
      </c>
      <c r="N755" t="str">
        <f t="shared" si="10"/>
        <v xml:space="preserve"> 2.0823</v>
      </c>
      <c r="Q755">
        <v>2.0823</v>
      </c>
      <c r="R755">
        <v>9</v>
      </c>
    </row>
    <row r="756" spans="1:18" x14ac:dyDescent="0.2">
      <c r="A756">
        <v>727</v>
      </c>
      <c r="B756" t="s">
        <v>156</v>
      </c>
      <c r="C756" t="s">
        <v>2162</v>
      </c>
      <c r="D756">
        <v>-0.76700000000000002</v>
      </c>
      <c r="E756">
        <v>9</v>
      </c>
      <c r="F756" t="s">
        <v>1109</v>
      </c>
      <c r="G756" t="s">
        <v>64</v>
      </c>
      <c r="H756" t="s">
        <v>65</v>
      </c>
      <c r="I756" t="s">
        <v>936</v>
      </c>
      <c r="J756" t="s">
        <v>2163</v>
      </c>
      <c r="L756" t="s">
        <v>2971</v>
      </c>
      <c r="N756" t="str">
        <f t="shared" si="10"/>
        <v xml:space="preserve"> 2.0565</v>
      </c>
      <c r="Q756">
        <v>2.0565000000000002</v>
      </c>
      <c r="R756">
        <v>9</v>
      </c>
    </row>
    <row r="757" spans="1:18" x14ac:dyDescent="0.2">
      <c r="A757">
        <v>728</v>
      </c>
      <c r="B757" t="s">
        <v>156</v>
      </c>
      <c r="C757" t="s">
        <v>2164</v>
      </c>
      <c r="D757">
        <v>-0.20899999999999999</v>
      </c>
      <c r="E757">
        <v>6</v>
      </c>
      <c r="F757" t="s">
        <v>720</v>
      </c>
      <c r="G757" t="s">
        <v>64</v>
      </c>
      <c r="H757" t="s">
        <v>40</v>
      </c>
      <c r="I757" t="s">
        <v>936</v>
      </c>
      <c r="J757" t="s">
        <v>2165</v>
      </c>
      <c r="L757" t="s">
        <v>2972</v>
      </c>
      <c r="N757" t="str">
        <f t="shared" si="10"/>
        <v xml:space="preserve"> 2.7831</v>
      </c>
      <c r="Q757">
        <v>2.7831000000000001</v>
      </c>
      <c r="R757">
        <v>6</v>
      </c>
    </row>
    <row r="758" spans="1:18" x14ac:dyDescent="0.2">
      <c r="A758">
        <v>729</v>
      </c>
      <c r="B758" t="s">
        <v>113</v>
      </c>
      <c r="C758" t="s">
        <v>2166</v>
      </c>
      <c r="D758">
        <v>-0.13300000000000001</v>
      </c>
      <c r="E758">
        <v>6</v>
      </c>
      <c r="F758" t="s">
        <v>1030</v>
      </c>
      <c r="G758" t="s">
        <v>64</v>
      </c>
      <c r="H758" t="s">
        <v>40</v>
      </c>
      <c r="I758" t="s">
        <v>936</v>
      </c>
      <c r="J758" t="s">
        <v>2167</v>
      </c>
      <c r="L758" t="s">
        <v>2973</v>
      </c>
      <c r="N758" t="str">
        <f t="shared" si="10"/>
        <v xml:space="preserve"> 2.4965</v>
      </c>
      <c r="Q758">
        <v>2.4965000000000002</v>
      </c>
      <c r="R758">
        <v>6</v>
      </c>
    </row>
    <row r="759" spans="1:18" x14ac:dyDescent="0.2">
      <c r="A759">
        <v>730</v>
      </c>
      <c r="B759" t="s">
        <v>52</v>
      </c>
      <c r="C759" t="s">
        <v>2168</v>
      </c>
      <c r="D759">
        <v>-0.51200000000000001</v>
      </c>
      <c r="E759">
        <v>7</v>
      </c>
      <c r="F759" t="s">
        <v>882</v>
      </c>
      <c r="G759" t="s">
        <v>64</v>
      </c>
      <c r="H759" t="s">
        <v>40</v>
      </c>
      <c r="I759" t="s">
        <v>936</v>
      </c>
      <c r="J759" t="s">
        <v>2169</v>
      </c>
      <c r="L759" t="s">
        <v>2974</v>
      </c>
      <c r="N759" t="str">
        <f t="shared" si="10"/>
        <v xml:space="preserve"> 2.4904</v>
      </c>
      <c r="Q759">
        <v>2.4904000000000002</v>
      </c>
      <c r="R759">
        <v>7</v>
      </c>
    </row>
    <row r="760" spans="1:18" x14ac:dyDescent="0.2">
      <c r="A760">
        <v>731</v>
      </c>
      <c r="B760" t="s">
        <v>113</v>
      </c>
      <c r="C760" t="s">
        <v>2170</v>
      </c>
      <c r="D760">
        <v>-0.36899999999999999</v>
      </c>
      <c r="E760">
        <v>7</v>
      </c>
      <c r="F760" t="s">
        <v>781</v>
      </c>
      <c r="G760" t="s">
        <v>64</v>
      </c>
      <c r="H760" t="s">
        <v>40</v>
      </c>
      <c r="I760" t="s">
        <v>936</v>
      </c>
      <c r="J760" t="s">
        <v>2171</v>
      </c>
      <c r="L760" t="s">
        <v>2975</v>
      </c>
      <c r="N760" t="str">
        <f t="shared" si="10"/>
        <v xml:space="preserve"> 3.6825</v>
      </c>
      <c r="Q760">
        <v>3.6825000000000001</v>
      </c>
      <c r="R760">
        <v>7</v>
      </c>
    </row>
    <row r="761" spans="1:18" x14ac:dyDescent="0.2">
      <c r="A761">
        <v>732</v>
      </c>
      <c r="B761" t="s">
        <v>74</v>
      </c>
      <c r="C761" t="s">
        <v>2172</v>
      </c>
      <c r="D761">
        <v>-0.60399999999999998</v>
      </c>
      <c r="E761">
        <v>8</v>
      </c>
      <c r="F761" t="s">
        <v>909</v>
      </c>
      <c r="G761" t="s">
        <v>33</v>
      </c>
      <c r="H761" t="s">
        <v>34</v>
      </c>
      <c r="I761" t="s">
        <v>936</v>
      </c>
      <c r="J761" t="s">
        <v>2173</v>
      </c>
      <c r="L761" t="s">
        <v>2976</v>
      </c>
      <c r="N761" t="str">
        <f t="shared" si="10"/>
        <v xml:space="preserve"> 2.8134</v>
      </c>
      <c r="Q761">
        <v>2.8134000000000001</v>
      </c>
      <c r="R761">
        <v>8</v>
      </c>
    </row>
    <row r="762" spans="1:18" x14ac:dyDescent="0.2">
      <c r="A762">
        <v>733</v>
      </c>
      <c r="B762" t="s">
        <v>113</v>
      </c>
      <c r="C762" t="s">
        <v>2174</v>
      </c>
      <c r="D762">
        <v>-0.81100000000000005</v>
      </c>
      <c r="E762">
        <v>9</v>
      </c>
      <c r="F762" t="s">
        <v>927</v>
      </c>
      <c r="G762" t="s">
        <v>64</v>
      </c>
      <c r="H762" t="s">
        <v>65</v>
      </c>
      <c r="I762" t="s">
        <v>936</v>
      </c>
      <c r="J762" t="s">
        <v>1153</v>
      </c>
      <c r="L762" t="s">
        <v>2977</v>
      </c>
      <c r="N762" t="str">
        <f t="shared" si="10"/>
        <v xml:space="preserve"> 2.3984</v>
      </c>
      <c r="Q762">
        <v>2.3984000000000001</v>
      </c>
      <c r="R762">
        <v>9</v>
      </c>
    </row>
    <row r="763" spans="1:18" x14ac:dyDescent="0.2">
      <c r="A763">
        <v>734</v>
      </c>
      <c r="B763" t="s">
        <v>101</v>
      </c>
      <c r="C763" t="s">
        <v>2175</v>
      </c>
      <c r="D763">
        <v>-0.90200000000000002</v>
      </c>
      <c r="E763">
        <v>9</v>
      </c>
      <c r="F763" t="s">
        <v>675</v>
      </c>
      <c r="G763" t="s">
        <v>33</v>
      </c>
      <c r="H763" t="s">
        <v>34</v>
      </c>
      <c r="I763" t="s">
        <v>936</v>
      </c>
      <c r="J763" t="s">
        <v>997</v>
      </c>
      <c r="L763" t="s">
        <v>2978</v>
      </c>
      <c r="N763" t="str">
        <f t="shared" si="10"/>
        <v xml:space="preserve"> 3.4440</v>
      </c>
      <c r="Q763">
        <v>3.444</v>
      </c>
      <c r="R763">
        <v>9</v>
      </c>
    </row>
    <row r="764" spans="1:18" x14ac:dyDescent="0.2">
      <c r="A764">
        <v>735</v>
      </c>
      <c r="B764" t="s">
        <v>37</v>
      </c>
      <c r="C764" t="s">
        <v>2176</v>
      </c>
      <c r="D764">
        <v>-0.47799999999999998</v>
      </c>
      <c r="E764">
        <v>7</v>
      </c>
      <c r="F764" t="s">
        <v>1187</v>
      </c>
      <c r="G764" t="s">
        <v>33</v>
      </c>
      <c r="H764" t="s">
        <v>40</v>
      </c>
      <c r="I764" t="s">
        <v>936</v>
      </c>
      <c r="J764" t="s">
        <v>2177</v>
      </c>
      <c r="L764" t="s">
        <v>2979</v>
      </c>
      <c r="N764" t="str">
        <f t="shared" si="10"/>
        <v xml:space="preserve"> 3.2250</v>
      </c>
      <c r="Q764">
        <v>3.2250000000000001</v>
      </c>
      <c r="R764">
        <v>7</v>
      </c>
    </row>
    <row r="765" spans="1:18" x14ac:dyDescent="0.2">
      <c r="A765">
        <v>736</v>
      </c>
      <c r="B765" t="s">
        <v>108</v>
      </c>
      <c r="C765" t="s">
        <v>2178</v>
      </c>
      <c r="D765">
        <v>-0.92400000000000004</v>
      </c>
      <c r="E765">
        <v>9</v>
      </c>
      <c r="F765" t="s">
        <v>888</v>
      </c>
      <c r="G765" t="s">
        <v>33</v>
      </c>
      <c r="H765" t="s">
        <v>34</v>
      </c>
      <c r="I765" t="s">
        <v>936</v>
      </c>
      <c r="J765" t="s">
        <v>889</v>
      </c>
      <c r="L765" t="s">
        <v>2980</v>
      </c>
      <c r="N765" t="str">
        <f t="shared" si="10"/>
        <v xml:space="preserve"> 2.6559</v>
      </c>
      <c r="Q765">
        <v>2.6558999999999999</v>
      </c>
      <c r="R765">
        <v>9</v>
      </c>
    </row>
    <row r="766" spans="1:18" x14ac:dyDescent="0.2">
      <c r="A766">
        <v>737</v>
      </c>
      <c r="B766" t="s">
        <v>123</v>
      </c>
      <c r="C766" t="s">
        <v>2179</v>
      </c>
      <c r="D766">
        <v>-0.61799999999999999</v>
      </c>
      <c r="E766">
        <v>8</v>
      </c>
      <c r="F766" t="s">
        <v>909</v>
      </c>
      <c r="G766" t="s">
        <v>33</v>
      </c>
      <c r="H766" t="s">
        <v>34</v>
      </c>
      <c r="I766" t="s">
        <v>936</v>
      </c>
      <c r="J766" t="s">
        <v>2180</v>
      </c>
      <c r="L766" t="s">
        <v>2981</v>
      </c>
      <c r="N766" t="str">
        <f t="shared" si="10"/>
        <v xml:space="preserve"> 3.8291</v>
      </c>
      <c r="Q766">
        <v>3.8290999999999999</v>
      </c>
      <c r="R766">
        <v>8</v>
      </c>
    </row>
    <row r="767" spans="1:18" x14ac:dyDescent="0.2">
      <c r="A767">
        <v>738</v>
      </c>
      <c r="B767" t="s">
        <v>43</v>
      </c>
      <c r="C767" t="s">
        <v>2181</v>
      </c>
      <c r="D767">
        <v>0.76600000000000001</v>
      </c>
      <c r="E767">
        <v>4</v>
      </c>
      <c r="F767" t="s">
        <v>774</v>
      </c>
      <c r="G767" t="s">
        <v>33</v>
      </c>
      <c r="H767" t="s">
        <v>40</v>
      </c>
      <c r="I767" t="s">
        <v>936</v>
      </c>
      <c r="J767" t="s">
        <v>2182</v>
      </c>
      <c r="L767" t="s">
        <v>2982</v>
      </c>
      <c r="N767" t="str">
        <f t="shared" si="10"/>
        <v xml:space="preserve"> 4.3620</v>
      </c>
      <c r="Q767">
        <v>4.3620000000000001</v>
      </c>
      <c r="R767">
        <v>4</v>
      </c>
    </row>
    <row r="768" spans="1:18" x14ac:dyDescent="0.2">
      <c r="A768">
        <v>739</v>
      </c>
      <c r="B768" t="s">
        <v>127</v>
      </c>
      <c r="C768" t="s">
        <v>2183</v>
      </c>
      <c r="D768">
        <v>-0.24199999999999999</v>
      </c>
      <c r="E768">
        <v>6</v>
      </c>
      <c r="F768" t="s">
        <v>726</v>
      </c>
      <c r="G768" t="s">
        <v>33</v>
      </c>
      <c r="H768" t="s">
        <v>40</v>
      </c>
      <c r="I768" t="s">
        <v>936</v>
      </c>
      <c r="J768" t="s">
        <v>2184</v>
      </c>
      <c r="L768" t="s">
        <v>2983</v>
      </c>
      <c r="N768" t="str">
        <f t="shared" si="10"/>
        <v xml:space="preserve"> 2.8624</v>
      </c>
      <c r="Q768">
        <v>2.8624000000000001</v>
      </c>
      <c r="R768">
        <v>6</v>
      </c>
    </row>
    <row r="769" spans="1:18" x14ac:dyDescent="0.2">
      <c r="A769">
        <v>740</v>
      </c>
      <c r="B769" t="s">
        <v>118</v>
      </c>
      <c r="C769" t="s">
        <v>2185</v>
      </c>
      <c r="D769">
        <v>-0.46400000000000002</v>
      </c>
      <c r="E769">
        <v>7</v>
      </c>
      <c r="F769" t="s">
        <v>1187</v>
      </c>
      <c r="G769" t="s">
        <v>33</v>
      </c>
      <c r="H769" t="s">
        <v>40</v>
      </c>
      <c r="I769" t="s">
        <v>162</v>
      </c>
      <c r="J769" t="s">
        <v>2186</v>
      </c>
      <c r="L769" t="s">
        <v>2984</v>
      </c>
      <c r="N769" t="str">
        <f t="shared" si="10"/>
        <v xml:space="preserve"> 1.3547</v>
      </c>
      <c r="Q769">
        <v>1.3547</v>
      </c>
      <c r="R769">
        <v>7</v>
      </c>
    </row>
    <row r="770" spans="1:18" x14ac:dyDescent="0.2">
      <c r="A770">
        <v>741</v>
      </c>
      <c r="B770" t="s">
        <v>113</v>
      </c>
      <c r="C770" t="s">
        <v>2187</v>
      </c>
      <c r="D770">
        <v>-0.89800000000000002</v>
      </c>
      <c r="E770">
        <v>9</v>
      </c>
      <c r="F770" t="s">
        <v>675</v>
      </c>
      <c r="G770" t="s">
        <v>33</v>
      </c>
      <c r="H770" t="s">
        <v>34</v>
      </c>
      <c r="I770" t="s">
        <v>162</v>
      </c>
      <c r="J770" t="s">
        <v>981</v>
      </c>
      <c r="L770" t="s">
        <v>2985</v>
      </c>
      <c r="N770" t="str">
        <f t="shared" si="10"/>
        <v xml:space="preserve"> 0.8398</v>
      </c>
      <c r="Q770">
        <v>0.83979999999999999</v>
      </c>
      <c r="R770">
        <v>9</v>
      </c>
    </row>
    <row r="771" spans="1:18" x14ac:dyDescent="0.2">
      <c r="A771">
        <v>742</v>
      </c>
      <c r="B771" t="s">
        <v>127</v>
      </c>
      <c r="C771" t="s">
        <v>2188</v>
      </c>
      <c r="D771">
        <v>-0.68</v>
      </c>
      <c r="E771">
        <v>8</v>
      </c>
      <c r="F771" t="s">
        <v>1371</v>
      </c>
      <c r="G771" t="s">
        <v>33</v>
      </c>
      <c r="H771" t="s">
        <v>34</v>
      </c>
      <c r="I771" t="s">
        <v>35</v>
      </c>
      <c r="J771" t="s">
        <v>2189</v>
      </c>
      <c r="L771" t="s">
        <v>2986</v>
      </c>
      <c r="N771" t="str">
        <f t="shared" si="10"/>
        <v xml:space="preserve"> 1.7248</v>
      </c>
      <c r="Q771">
        <v>1.7248000000000001</v>
      </c>
      <c r="R771">
        <v>8</v>
      </c>
    </row>
    <row r="774" spans="1:18" x14ac:dyDescent="0.2">
      <c r="A774" t="s">
        <v>664</v>
      </c>
    </row>
    <row r="775" spans="1:18" x14ac:dyDescent="0.2">
      <c r="A775" t="s">
        <v>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20FB-4D9E-7C49-BF17-47ADEB25EC45}">
  <dimension ref="A1:C609"/>
  <sheetViews>
    <sheetView workbookViewId="0">
      <selection activeCell="C377" sqref="C377:C609"/>
    </sheetView>
  </sheetViews>
  <sheetFormatPr baseColWidth="10" defaultRowHeight="16" x14ac:dyDescent="0.2"/>
  <sheetData>
    <row r="1" spans="1:3" x14ac:dyDescent="0.2">
      <c r="A1" t="s">
        <v>64</v>
      </c>
      <c r="B1">
        <v>2.7235</v>
      </c>
      <c r="C1">
        <v>8</v>
      </c>
    </row>
    <row r="2" spans="1:3" x14ac:dyDescent="0.2">
      <c r="A2" t="s">
        <v>64</v>
      </c>
      <c r="B2">
        <v>2.1804999999999999</v>
      </c>
      <c r="C2">
        <v>9</v>
      </c>
    </row>
    <row r="3" spans="1:3" x14ac:dyDescent="0.2">
      <c r="A3" t="s">
        <v>64</v>
      </c>
      <c r="B3">
        <v>3.5718999999999999</v>
      </c>
      <c r="C3">
        <v>9</v>
      </c>
    </row>
    <row r="4" spans="1:3" x14ac:dyDescent="0.2">
      <c r="A4" t="s">
        <v>64</v>
      </c>
      <c r="B4">
        <v>2.4666000000000001</v>
      </c>
      <c r="C4">
        <v>5</v>
      </c>
    </row>
    <row r="5" spans="1:3" x14ac:dyDescent="0.2">
      <c r="A5" t="s">
        <v>64</v>
      </c>
      <c r="B5">
        <v>3.3107000000000002</v>
      </c>
      <c r="C5">
        <v>9</v>
      </c>
    </row>
    <row r="6" spans="1:3" x14ac:dyDescent="0.2">
      <c r="A6" t="s">
        <v>64</v>
      </c>
      <c r="B6">
        <v>2.1848000000000001</v>
      </c>
      <c r="C6">
        <v>8</v>
      </c>
    </row>
    <row r="7" spans="1:3" x14ac:dyDescent="0.2">
      <c r="A7" t="s">
        <v>64</v>
      </c>
      <c r="B7">
        <v>2.1196999999999999</v>
      </c>
      <c r="C7">
        <v>9</v>
      </c>
    </row>
    <row r="8" spans="1:3" x14ac:dyDescent="0.2">
      <c r="A8" t="s">
        <v>64</v>
      </c>
      <c r="B8">
        <v>1.6936</v>
      </c>
      <c r="C8">
        <v>4</v>
      </c>
    </row>
    <row r="9" spans="1:3" x14ac:dyDescent="0.2">
      <c r="A9" t="s">
        <v>64</v>
      </c>
      <c r="B9">
        <v>0.97199999999999998</v>
      </c>
      <c r="C9">
        <v>9</v>
      </c>
    </row>
    <row r="10" spans="1:3" x14ac:dyDescent="0.2">
      <c r="A10" t="s">
        <v>64</v>
      </c>
      <c r="B10">
        <v>1.1911</v>
      </c>
      <c r="C10">
        <v>7</v>
      </c>
    </row>
    <row r="11" spans="1:3" x14ac:dyDescent="0.2">
      <c r="A11" t="s">
        <v>64</v>
      </c>
      <c r="B11">
        <v>1.2166999999999999</v>
      </c>
      <c r="C11">
        <v>4</v>
      </c>
    </row>
    <row r="12" spans="1:3" x14ac:dyDescent="0.2">
      <c r="A12" t="s">
        <v>64</v>
      </c>
      <c r="B12">
        <v>1.3261000000000001</v>
      </c>
      <c r="C12">
        <v>8</v>
      </c>
    </row>
    <row r="13" spans="1:3" x14ac:dyDescent="0.2">
      <c r="A13" t="s">
        <v>64</v>
      </c>
      <c r="B13">
        <v>1.4047000000000001</v>
      </c>
      <c r="C13">
        <v>7</v>
      </c>
    </row>
    <row r="14" spans="1:3" x14ac:dyDescent="0.2">
      <c r="A14" t="s">
        <v>64</v>
      </c>
      <c r="B14">
        <v>1.4025000000000001</v>
      </c>
      <c r="C14">
        <v>9</v>
      </c>
    </row>
    <row r="15" spans="1:3" x14ac:dyDescent="0.2">
      <c r="A15" t="s">
        <v>64</v>
      </c>
      <c r="B15">
        <v>1.2111000000000001</v>
      </c>
      <c r="C15">
        <v>6</v>
      </c>
    </row>
    <row r="16" spans="1:3" x14ac:dyDescent="0.2">
      <c r="A16" t="s">
        <v>64</v>
      </c>
      <c r="B16">
        <v>1.0978000000000001</v>
      </c>
      <c r="C16">
        <v>9</v>
      </c>
    </row>
    <row r="17" spans="1:3" x14ac:dyDescent="0.2">
      <c r="A17" t="s">
        <v>64</v>
      </c>
      <c r="B17">
        <v>0.97499999999999998</v>
      </c>
      <c r="C17">
        <v>9</v>
      </c>
    </row>
    <row r="18" spans="1:3" x14ac:dyDescent="0.2">
      <c r="A18" t="s">
        <v>64</v>
      </c>
      <c r="B18">
        <v>1.2058</v>
      </c>
      <c r="C18">
        <v>9</v>
      </c>
    </row>
    <row r="19" spans="1:3" x14ac:dyDescent="0.2">
      <c r="A19" t="s">
        <v>64</v>
      </c>
      <c r="B19">
        <v>1.1489</v>
      </c>
      <c r="C19">
        <v>9</v>
      </c>
    </row>
    <row r="20" spans="1:3" x14ac:dyDescent="0.2">
      <c r="A20" t="s">
        <v>64</v>
      </c>
      <c r="B20">
        <v>1.3414999999999999</v>
      </c>
      <c r="C20">
        <v>9</v>
      </c>
    </row>
    <row r="21" spans="1:3" x14ac:dyDescent="0.2">
      <c r="A21" t="s">
        <v>64</v>
      </c>
      <c r="B21">
        <v>2.8054000000000001</v>
      </c>
      <c r="C21">
        <v>7</v>
      </c>
    </row>
    <row r="22" spans="1:3" x14ac:dyDescent="0.2">
      <c r="A22" t="s">
        <v>64</v>
      </c>
      <c r="B22">
        <v>2.6505000000000001</v>
      </c>
      <c r="C22">
        <v>8</v>
      </c>
    </row>
    <row r="23" spans="1:3" x14ac:dyDescent="0.2">
      <c r="A23" t="s">
        <v>64</v>
      </c>
      <c r="B23">
        <v>1.9035</v>
      </c>
      <c r="C23">
        <v>9</v>
      </c>
    </row>
    <row r="24" spans="1:3" x14ac:dyDescent="0.2">
      <c r="A24" t="s">
        <v>64</v>
      </c>
      <c r="B24">
        <v>2.6381000000000001</v>
      </c>
      <c r="C24">
        <v>9</v>
      </c>
    </row>
    <row r="25" spans="1:3" x14ac:dyDescent="0.2">
      <c r="A25" t="s">
        <v>64</v>
      </c>
      <c r="B25">
        <v>2.6071</v>
      </c>
      <c r="C25">
        <v>6</v>
      </c>
    </row>
    <row r="26" spans="1:3" x14ac:dyDescent="0.2">
      <c r="A26" t="s">
        <v>64</v>
      </c>
      <c r="B26">
        <v>2.6928000000000001</v>
      </c>
      <c r="C26">
        <v>8</v>
      </c>
    </row>
    <row r="27" spans="1:3" x14ac:dyDescent="0.2">
      <c r="A27" t="s">
        <v>64</v>
      </c>
      <c r="B27">
        <v>2.1778</v>
      </c>
      <c r="C27">
        <v>8</v>
      </c>
    </row>
    <row r="28" spans="1:3" x14ac:dyDescent="0.2">
      <c r="A28" t="s">
        <v>64</v>
      </c>
      <c r="B28">
        <v>2.8492999999999999</v>
      </c>
      <c r="C28">
        <v>8</v>
      </c>
    </row>
    <row r="29" spans="1:3" x14ac:dyDescent="0.2">
      <c r="A29" t="s">
        <v>64</v>
      </c>
      <c r="B29">
        <v>3.1657999999999999</v>
      </c>
      <c r="C29">
        <v>9</v>
      </c>
    </row>
    <row r="30" spans="1:3" x14ac:dyDescent="0.2">
      <c r="A30" t="s">
        <v>64</v>
      </c>
      <c r="B30">
        <v>3.3506</v>
      </c>
      <c r="C30">
        <v>9</v>
      </c>
    </row>
    <row r="31" spans="1:3" x14ac:dyDescent="0.2">
      <c r="A31" t="s">
        <v>64</v>
      </c>
      <c r="B31">
        <v>2.0404</v>
      </c>
      <c r="C31">
        <v>8</v>
      </c>
    </row>
    <row r="32" spans="1:3" x14ac:dyDescent="0.2">
      <c r="A32" t="s">
        <v>64</v>
      </c>
      <c r="B32">
        <v>2.8235999999999999</v>
      </c>
      <c r="C32">
        <v>9</v>
      </c>
    </row>
    <row r="33" spans="1:3" x14ac:dyDescent="0.2">
      <c r="A33" t="s">
        <v>64</v>
      </c>
      <c r="B33">
        <v>3.9169999999999998</v>
      </c>
      <c r="C33">
        <v>5</v>
      </c>
    </row>
    <row r="34" spans="1:3" x14ac:dyDescent="0.2">
      <c r="A34" t="s">
        <v>64</v>
      </c>
      <c r="B34">
        <v>1.7351000000000001</v>
      </c>
      <c r="C34">
        <v>8</v>
      </c>
    </row>
    <row r="35" spans="1:3" x14ac:dyDescent="0.2">
      <c r="A35" t="s">
        <v>64</v>
      </c>
      <c r="B35">
        <v>1.538</v>
      </c>
      <c r="C35">
        <v>9</v>
      </c>
    </row>
    <row r="36" spans="1:3" x14ac:dyDescent="0.2">
      <c r="A36" t="s">
        <v>64</v>
      </c>
      <c r="B36">
        <v>1.4984</v>
      </c>
      <c r="C36">
        <v>9</v>
      </c>
    </row>
    <row r="37" spans="1:3" x14ac:dyDescent="0.2">
      <c r="A37" t="s">
        <v>64</v>
      </c>
      <c r="B37">
        <v>1.1971000000000001</v>
      </c>
      <c r="C37">
        <v>7</v>
      </c>
    </row>
    <row r="38" spans="1:3" x14ac:dyDescent="0.2">
      <c r="A38" t="s">
        <v>64</v>
      </c>
      <c r="B38">
        <v>1.2130000000000001</v>
      </c>
      <c r="C38">
        <v>5</v>
      </c>
    </row>
    <row r="39" spans="1:3" x14ac:dyDescent="0.2">
      <c r="A39" t="s">
        <v>64</v>
      </c>
      <c r="B39">
        <v>1.0317000000000001</v>
      </c>
      <c r="C39">
        <v>9</v>
      </c>
    </row>
    <row r="40" spans="1:3" x14ac:dyDescent="0.2">
      <c r="A40" t="s">
        <v>64</v>
      </c>
      <c r="B40">
        <v>1.0940000000000001</v>
      </c>
      <c r="C40">
        <v>7</v>
      </c>
    </row>
    <row r="41" spans="1:3" x14ac:dyDescent="0.2">
      <c r="A41" t="s">
        <v>64</v>
      </c>
      <c r="B41">
        <v>1.5545</v>
      </c>
      <c r="C41">
        <v>5</v>
      </c>
    </row>
    <row r="42" spans="1:3" x14ac:dyDescent="0.2">
      <c r="A42" t="s">
        <v>64</v>
      </c>
      <c r="B42">
        <v>1.1456999999999999</v>
      </c>
      <c r="C42">
        <v>7</v>
      </c>
    </row>
    <row r="43" spans="1:3" x14ac:dyDescent="0.2">
      <c r="A43" t="s">
        <v>64</v>
      </c>
      <c r="B43">
        <v>0.52090000000000003</v>
      </c>
      <c r="C43">
        <v>9</v>
      </c>
    </row>
    <row r="44" spans="1:3" x14ac:dyDescent="0.2">
      <c r="A44" t="s">
        <v>64</v>
      </c>
      <c r="B44">
        <v>0.6673</v>
      </c>
      <c r="C44">
        <v>9</v>
      </c>
    </row>
    <row r="45" spans="1:3" x14ac:dyDescent="0.2">
      <c r="A45" t="s">
        <v>64</v>
      </c>
      <c r="B45">
        <v>0.63360000000000005</v>
      </c>
      <c r="C45">
        <v>4</v>
      </c>
    </row>
    <row r="46" spans="1:3" x14ac:dyDescent="0.2">
      <c r="A46" t="s">
        <v>64</v>
      </c>
      <c r="B46">
        <v>0.4708</v>
      </c>
      <c r="C46">
        <v>9</v>
      </c>
    </row>
    <row r="47" spans="1:3" x14ac:dyDescent="0.2">
      <c r="A47" t="s">
        <v>64</v>
      </c>
      <c r="B47">
        <v>0.71040000000000003</v>
      </c>
      <c r="C47">
        <v>9</v>
      </c>
    </row>
    <row r="48" spans="1:3" x14ac:dyDescent="0.2">
      <c r="A48" t="s">
        <v>64</v>
      </c>
      <c r="B48">
        <v>1.0608</v>
      </c>
      <c r="C48">
        <v>5</v>
      </c>
    </row>
    <row r="49" spans="1:3" x14ac:dyDescent="0.2">
      <c r="A49" t="s">
        <v>64</v>
      </c>
      <c r="B49">
        <v>0.1305</v>
      </c>
      <c r="C49">
        <v>3</v>
      </c>
    </row>
    <row r="50" spans="1:3" x14ac:dyDescent="0.2">
      <c r="A50" t="s">
        <v>64</v>
      </c>
      <c r="B50">
        <v>0.5242</v>
      </c>
      <c r="C50">
        <v>7</v>
      </c>
    </row>
    <row r="51" spans="1:3" x14ac:dyDescent="0.2">
      <c r="A51" t="s">
        <v>64</v>
      </c>
      <c r="B51">
        <v>0.82179999999999997</v>
      </c>
      <c r="C51">
        <v>9</v>
      </c>
    </row>
    <row r="52" spans="1:3" x14ac:dyDescent="0.2">
      <c r="A52" t="s">
        <v>64</v>
      </c>
      <c r="B52">
        <v>1.4169</v>
      </c>
      <c r="C52">
        <v>7</v>
      </c>
    </row>
    <row r="53" spans="1:3" x14ac:dyDescent="0.2">
      <c r="A53" t="s">
        <v>64</v>
      </c>
      <c r="B53">
        <v>1.5236000000000001</v>
      </c>
      <c r="C53">
        <v>5</v>
      </c>
    </row>
    <row r="54" spans="1:3" x14ac:dyDescent="0.2">
      <c r="A54" t="s">
        <v>64</v>
      </c>
      <c r="B54">
        <v>0.92449999999999999</v>
      </c>
      <c r="C54">
        <v>8</v>
      </c>
    </row>
    <row r="55" spans="1:3" x14ac:dyDescent="0.2">
      <c r="A55" t="s">
        <v>64</v>
      </c>
      <c r="B55">
        <v>1.0279</v>
      </c>
      <c r="C55">
        <v>4</v>
      </c>
    </row>
    <row r="56" spans="1:3" x14ac:dyDescent="0.2">
      <c r="A56" t="s">
        <v>64</v>
      </c>
      <c r="B56">
        <v>1.1538999999999999</v>
      </c>
      <c r="C56">
        <v>9</v>
      </c>
    </row>
    <row r="57" spans="1:3" x14ac:dyDescent="0.2">
      <c r="A57" t="s">
        <v>64</v>
      </c>
      <c r="B57">
        <v>0.61470000000000002</v>
      </c>
      <c r="C57">
        <v>4</v>
      </c>
    </row>
    <row r="58" spans="1:3" x14ac:dyDescent="0.2">
      <c r="A58" t="s">
        <v>64</v>
      </c>
      <c r="B58">
        <v>0.55689999999999995</v>
      </c>
      <c r="C58">
        <v>4</v>
      </c>
    </row>
    <row r="59" spans="1:3" x14ac:dyDescent="0.2">
      <c r="A59" t="s">
        <v>64</v>
      </c>
      <c r="B59">
        <v>0.63070000000000004</v>
      </c>
      <c r="C59">
        <v>5</v>
      </c>
    </row>
    <row r="60" spans="1:3" x14ac:dyDescent="0.2">
      <c r="A60" t="s">
        <v>64</v>
      </c>
      <c r="B60">
        <v>0.64639999999999997</v>
      </c>
      <c r="C60">
        <v>8</v>
      </c>
    </row>
    <row r="61" spans="1:3" x14ac:dyDescent="0.2">
      <c r="A61" t="s">
        <v>64</v>
      </c>
      <c r="B61">
        <v>0.89300000000000002</v>
      </c>
      <c r="C61">
        <v>5</v>
      </c>
    </row>
    <row r="62" spans="1:3" x14ac:dyDescent="0.2">
      <c r="A62" t="s">
        <v>64</v>
      </c>
      <c r="B62">
        <v>0.64319999999999999</v>
      </c>
      <c r="C62">
        <v>4</v>
      </c>
    </row>
    <row r="63" spans="1:3" x14ac:dyDescent="0.2">
      <c r="A63" t="s">
        <v>64</v>
      </c>
      <c r="B63">
        <v>0.26369999999999999</v>
      </c>
      <c r="C63">
        <v>6</v>
      </c>
    </row>
    <row r="64" spans="1:3" x14ac:dyDescent="0.2">
      <c r="A64" t="s">
        <v>64</v>
      </c>
      <c r="B64">
        <v>0.57320000000000004</v>
      </c>
      <c r="C64">
        <v>4</v>
      </c>
    </row>
    <row r="65" spans="1:3" x14ac:dyDescent="0.2">
      <c r="A65" t="s">
        <v>64</v>
      </c>
      <c r="B65">
        <v>0.90259999999999996</v>
      </c>
      <c r="C65">
        <v>8</v>
      </c>
    </row>
    <row r="66" spans="1:3" x14ac:dyDescent="0.2">
      <c r="A66" t="s">
        <v>64</v>
      </c>
      <c r="B66">
        <v>0.87539999999999996</v>
      </c>
      <c r="C66">
        <v>6</v>
      </c>
    </row>
    <row r="67" spans="1:3" x14ac:dyDescent="0.2">
      <c r="A67" t="s">
        <v>64</v>
      </c>
      <c r="B67">
        <v>0.75900000000000001</v>
      </c>
      <c r="C67">
        <v>6</v>
      </c>
    </row>
    <row r="68" spans="1:3" x14ac:dyDescent="0.2">
      <c r="A68" t="s">
        <v>64</v>
      </c>
      <c r="B68">
        <v>1.0611999999999999</v>
      </c>
      <c r="C68">
        <v>5</v>
      </c>
    </row>
    <row r="69" spans="1:3" x14ac:dyDescent="0.2">
      <c r="A69" t="s">
        <v>64</v>
      </c>
      <c r="B69">
        <v>1.6177999999999999</v>
      </c>
      <c r="C69">
        <v>9</v>
      </c>
    </row>
    <row r="70" spans="1:3" x14ac:dyDescent="0.2">
      <c r="A70" t="s">
        <v>64</v>
      </c>
      <c r="B70">
        <v>1.5087999999999999</v>
      </c>
      <c r="C70">
        <v>9</v>
      </c>
    </row>
    <row r="71" spans="1:3" x14ac:dyDescent="0.2">
      <c r="A71" t="s">
        <v>64</v>
      </c>
      <c r="B71">
        <v>0.96489999999999998</v>
      </c>
      <c r="C71">
        <v>9</v>
      </c>
    </row>
    <row r="72" spans="1:3" x14ac:dyDescent="0.2">
      <c r="A72" t="s">
        <v>64</v>
      </c>
      <c r="B72">
        <v>1.3694999999999999</v>
      </c>
      <c r="C72">
        <v>8</v>
      </c>
    </row>
    <row r="73" spans="1:3" x14ac:dyDescent="0.2">
      <c r="A73" t="s">
        <v>64</v>
      </c>
      <c r="B73">
        <v>1.7145999999999999</v>
      </c>
      <c r="C73">
        <v>5</v>
      </c>
    </row>
    <row r="74" spans="1:3" x14ac:dyDescent="0.2">
      <c r="A74" t="s">
        <v>64</v>
      </c>
      <c r="B74">
        <v>1.052</v>
      </c>
      <c r="C74">
        <v>5</v>
      </c>
    </row>
    <row r="75" spans="1:3" x14ac:dyDescent="0.2">
      <c r="A75" t="s">
        <v>64</v>
      </c>
      <c r="B75">
        <v>1.1221000000000001</v>
      </c>
      <c r="C75">
        <v>4</v>
      </c>
    </row>
    <row r="76" spans="1:3" x14ac:dyDescent="0.2">
      <c r="A76" t="s">
        <v>64</v>
      </c>
      <c r="B76">
        <v>0.88580000000000003</v>
      </c>
      <c r="C76">
        <v>9</v>
      </c>
    </row>
    <row r="77" spans="1:3" x14ac:dyDescent="0.2">
      <c r="A77" t="s">
        <v>64</v>
      </c>
      <c r="B77">
        <v>0.59570000000000001</v>
      </c>
      <c r="C77">
        <v>8</v>
      </c>
    </row>
    <row r="78" spans="1:3" x14ac:dyDescent="0.2">
      <c r="A78" t="s">
        <v>64</v>
      </c>
      <c r="B78">
        <v>0.55959999999999999</v>
      </c>
      <c r="C78">
        <v>4</v>
      </c>
    </row>
    <row r="79" spans="1:3" x14ac:dyDescent="0.2">
      <c r="A79" t="s">
        <v>64</v>
      </c>
      <c r="B79">
        <v>0.97219999999999995</v>
      </c>
      <c r="C79">
        <v>7</v>
      </c>
    </row>
    <row r="80" spans="1:3" x14ac:dyDescent="0.2">
      <c r="A80" t="s">
        <v>64</v>
      </c>
      <c r="B80">
        <v>0.86160000000000003</v>
      </c>
      <c r="C80">
        <v>9</v>
      </c>
    </row>
    <row r="81" spans="1:3" x14ac:dyDescent="0.2">
      <c r="A81" t="s">
        <v>64</v>
      </c>
      <c r="B81">
        <v>0.60780000000000001</v>
      </c>
      <c r="C81">
        <v>5</v>
      </c>
    </row>
    <row r="82" spans="1:3" x14ac:dyDescent="0.2">
      <c r="A82" t="s">
        <v>64</v>
      </c>
      <c r="B82">
        <v>0.6724</v>
      </c>
      <c r="C82">
        <v>2</v>
      </c>
    </row>
    <row r="83" spans="1:3" x14ac:dyDescent="0.2">
      <c r="A83" t="s">
        <v>64</v>
      </c>
      <c r="B83">
        <v>0.2838</v>
      </c>
      <c r="C83">
        <v>8</v>
      </c>
    </row>
    <row r="84" spans="1:3" x14ac:dyDescent="0.2">
      <c r="A84" t="s">
        <v>64</v>
      </c>
      <c r="B84">
        <v>0.4854</v>
      </c>
      <c r="C84">
        <v>9</v>
      </c>
    </row>
    <row r="85" spans="1:3" x14ac:dyDescent="0.2">
      <c r="A85" t="s">
        <v>64</v>
      </c>
      <c r="B85">
        <v>0.27750000000000002</v>
      </c>
      <c r="C85">
        <v>4</v>
      </c>
    </row>
    <row r="86" spans="1:3" x14ac:dyDescent="0.2">
      <c r="A86" t="s">
        <v>64</v>
      </c>
      <c r="B86">
        <v>0.3775</v>
      </c>
      <c r="C86">
        <v>9</v>
      </c>
    </row>
    <row r="87" spans="1:3" x14ac:dyDescent="0.2">
      <c r="A87" t="s">
        <v>64</v>
      </c>
      <c r="B87">
        <v>0.49769999999999998</v>
      </c>
      <c r="C87">
        <v>9</v>
      </c>
    </row>
    <row r="88" spans="1:3" x14ac:dyDescent="0.2">
      <c r="A88" t="s">
        <v>64</v>
      </c>
      <c r="B88">
        <v>0.22109999999999999</v>
      </c>
      <c r="C88">
        <v>9</v>
      </c>
    </row>
    <row r="89" spans="1:3" x14ac:dyDescent="0.2">
      <c r="A89" t="s">
        <v>64</v>
      </c>
      <c r="B89">
        <v>0.66559999999999997</v>
      </c>
      <c r="C89">
        <v>9</v>
      </c>
    </row>
    <row r="90" spans="1:3" x14ac:dyDescent="0.2">
      <c r="A90" t="s">
        <v>64</v>
      </c>
      <c r="B90">
        <v>1.2224999999999999</v>
      </c>
      <c r="C90">
        <v>6</v>
      </c>
    </row>
    <row r="91" spans="1:3" x14ac:dyDescent="0.2">
      <c r="A91" t="s">
        <v>64</v>
      </c>
      <c r="B91">
        <v>1.4319999999999999</v>
      </c>
      <c r="C91">
        <v>7</v>
      </c>
    </row>
    <row r="92" spans="1:3" x14ac:dyDescent="0.2">
      <c r="A92" t="s">
        <v>64</v>
      </c>
      <c r="B92">
        <v>0.70089999999999997</v>
      </c>
      <c r="C92">
        <v>9</v>
      </c>
    </row>
    <row r="93" spans="1:3" x14ac:dyDescent="0.2">
      <c r="A93" t="s">
        <v>64</v>
      </c>
      <c r="B93">
        <v>0.98050000000000004</v>
      </c>
      <c r="C93">
        <v>8</v>
      </c>
    </row>
    <row r="94" spans="1:3" x14ac:dyDescent="0.2">
      <c r="A94" t="s">
        <v>64</v>
      </c>
      <c r="B94">
        <v>0.95320000000000005</v>
      </c>
      <c r="C94">
        <v>9</v>
      </c>
    </row>
    <row r="95" spans="1:3" x14ac:dyDescent="0.2">
      <c r="A95" t="s">
        <v>64</v>
      </c>
      <c r="B95">
        <v>0.65900000000000003</v>
      </c>
      <c r="C95">
        <v>8</v>
      </c>
    </row>
    <row r="96" spans="1:3" x14ac:dyDescent="0.2">
      <c r="A96" t="s">
        <v>64</v>
      </c>
      <c r="B96">
        <v>0.56599999999999995</v>
      </c>
      <c r="C96">
        <v>7</v>
      </c>
    </row>
    <row r="97" spans="1:3" x14ac:dyDescent="0.2">
      <c r="A97" t="s">
        <v>64</v>
      </c>
      <c r="B97">
        <v>0.42330000000000001</v>
      </c>
      <c r="C97">
        <v>6</v>
      </c>
    </row>
    <row r="98" spans="1:3" x14ac:dyDescent="0.2">
      <c r="A98" t="s">
        <v>64</v>
      </c>
      <c r="B98">
        <v>0.20849999999999999</v>
      </c>
      <c r="C98">
        <v>7</v>
      </c>
    </row>
    <row r="99" spans="1:3" x14ac:dyDescent="0.2">
      <c r="A99" t="s">
        <v>64</v>
      </c>
      <c r="B99">
        <v>0.24890000000000001</v>
      </c>
      <c r="C99">
        <v>7</v>
      </c>
    </row>
    <row r="100" spans="1:3" x14ac:dyDescent="0.2">
      <c r="A100" t="s">
        <v>64</v>
      </c>
      <c r="B100">
        <v>0.57499999999999996</v>
      </c>
      <c r="C100">
        <v>8</v>
      </c>
    </row>
    <row r="101" spans="1:3" x14ac:dyDescent="0.2">
      <c r="A101" t="s">
        <v>64</v>
      </c>
      <c r="B101">
        <v>0.91549999999999998</v>
      </c>
      <c r="C101">
        <v>9</v>
      </c>
    </row>
    <row r="102" spans="1:3" x14ac:dyDescent="0.2">
      <c r="A102" t="s">
        <v>64</v>
      </c>
      <c r="B102">
        <v>0.80969999999999998</v>
      </c>
      <c r="C102">
        <v>9</v>
      </c>
    </row>
    <row r="103" spans="1:3" x14ac:dyDescent="0.2">
      <c r="A103" t="s">
        <v>64</v>
      </c>
      <c r="B103">
        <v>1.2648999999999999</v>
      </c>
      <c r="C103">
        <v>9</v>
      </c>
    </row>
    <row r="104" spans="1:3" x14ac:dyDescent="0.2">
      <c r="A104" t="s">
        <v>64</v>
      </c>
      <c r="B104">
        <v>1.0342</v>
      </c>
      <c r="C104">
        <v>9</v>
      </c>
    </row>
    <row r="105" spans="1:3" x14ac:dyDescent="0.2">
      <c r="A105" t="s">
        <v>64</v>
      </c>
      <c r="B105">
        <v>0.98780000000000001</v>
      </c>
      <c r="C105">
        <v>9</v>
      </c>
    </row>
    <row r="106" spans="1:3" x14ac:dyDescent="0.2">
      <c r="A106" t="s">
        <v>64</v>
      </c>
      <c r="B106">
        <v>1.2005999999999999</v>
      </c>
      <c r="C106">
        <v>8</v>
      </c>
    </row>
    <row r="107" spans="1:3" x14ac:dyDescent="0.2">
      <c r="A107" t="s">
        <v>64</v>
      </c>
      <c r="B107">
        <v>0.4819</v>
      </c>
      <c r="C107">
        <v>9</v>
      </c>
    </row>
    <row r="108" spans="1:3" x14ac:dyDescent="0.2">
      <c r="A108" t="s">
        <v>64</v>
      </c>
      <c r="B108">
        <v>0.91410000000000002</v>
      </c>
      <c r="C108">
        <v>9</v>
      </c>
    </row>
    <row r="109" spans="1:3" x14ac:dyDescent="0.2">
      <c r="A109" t="s">
        <v>64</v>
      </c>
      <c r="B109">
        <v>1.3545</v>
      </c>
      <c r="C109">
        <v>8</v>
      </c>
    </row>
    <row r="110" spans="1:3" x14ac:dyDescent="0.2">
      <c r="A110" t="s">
        <v>64</v>
      </c>
      <c r="B110">
        <v>1.0995999999999999</v>
      </c>
      <c r="C110">
        <v>9</v>
      </c>
    </row>
    <row r="111" spans="1:3" x14ac:dyDescent="0.2">
      <c r="A111" t="s">
        <v>64</v>
      </c>
      <c r="B111">
        <v>0.84609999999999996</v>
      </c>
      <c r="C111">
        <v>5</v>
      </c>
    </row>
    <row r="112" spans="1:3" x14ac:dyDescent="0.2">
      <c r="A112" t="s">
        <v>64</v>
      </c>
      <c r="B112">
        <v>1.024</v>
      </c>
      <c r="C112">
        <v>9</v>
      </c>
    </row>
    <row r="113" spans="1:3" x14ac:dyDescent="0.2">
      <c r="A113" t="s">
        <v>64</v>
      </c>
      <c r="B113">
        <v>1.2343999999999999</v>
      </c>
      <c r="C113">
        <v>8</v>
      </c>
    </row>
    <row r="114" spans="1:3" x14ac:dyDescent="0.2">
      <c r="A114" t="s">
        <v>64</v>
      </c>
      <c r="B114">
        <v>1.3546</v>
      </c>
      <c r="C114">
        <v>8</v>
      </c>
    </row>
    <row r="115" spans="1:3" x14ac:dyDescent="0.2">
      <c r="A115" t="s">
        <v>64</v>
      </c>
      <c r="B115">
        <v>1.1105</v>
      </c>
      <c r="C115">
        <v>9</v>
      </c>
    </row>
    <row r="116" spans="1:3" x14ac:dyDescent="0.2">
      <c r="A116" t="s">
        <v>64</v>
      </c>
      <c r="B116">
        <v>1.2248000000000001</v>
      </c>
      <c r="C116">
        <v>9</v>
      </c>
    </row>
    <row r="117" spans="1:3" x14ac:dyDescent="0.2">
      <c r="A117" t="s">
        <v>64</v>
      </c>
      <c r="B117">
        <v>1.9984999999999999</v>
      </c>
      <c r="C117">
        <v>8</v>
      </c>
    </row>
    <row r="118" spans="1:3" x14ac:dyDescent="0.2">
      <c r="A118" t="s">
        <v>64</v>
      </c>
      <c r="B118">
        <v>1.6244000000000001</v>
      </c>
      <c r="C118">
        <v>7</v>
      </c>
    </row>
    <row r="119" spans="1:3" x14ac:dyDescent="0.2">
      <c r="A119" t="s">
        <v>64</v>
      </c>
      <c r="B119">
        <v>1.8888</v>
      </c>
      <c r="C119">
        <v>8</v>
      </c>
    </row>
    <row r="120" spans="1:3" x14ac:dyDescent="0.2">
      <c r="A120" t="s">
        <v>64</v>
      </c>
      <c r="B120">
        <v>2.7608000000000001</v>
      </c>
      <c r="C120">
        <v>9</v>
      </c>
    </row>
    <row r="121" spans="1:3" x14ac:dyDescent="0.2">
      <c r="A121" t="s">
        <v>64</v>
      </c>
      <c r="B121">
        <v>3.1528</v>
      </c>
      <c r="C121">
        <v>9</v>
      </c>
    </row>
    <row r="122" spans="1:3" x14ac:dyDescent="0.2">
      <c r="A122" t="s">
        <v>64</v>
      </c>
      <c r="B122">
        <v>3.0861000000000001</v>
      </c>
      <c r="C122">
        <v>7</v>
      </c>
    </row>
    <row r="123" spans="1:3" x14ac:dyDescent="0.2">
      <c r="A123" t="s">
        <v>64</v>
      </c>
      <c r="B123">
        <v>3.3795000000000002</v>
      </c>
      <c r="C123">
        <v>9</v>
      </c>
    </row>
    <row r="124" spans="1:3" x14ac:dyDescent="0.2">
      <c r="A124" t="s">
        <v>64</v>
      </c>
      <c r="B124">
        <v>3.8717999999999999</v>
      </c>
      <c r="C124">
        <v>9</v>
      </c>
    </row>
    <row r="125" spans="1:3" x14ac:dyDescent="0.2">
      <c r="A125" t="s">
        <v>64</v>
      </c>
      <c r="B125">
        <v>4.5410000000000004</v>
      </c>
      <c r="C125">
        <v>9</v>
      </c>
    </row>
    <row r="126" spans="1:3" x14ac:dyDescent="0.2">
      <c r="A126" t="s">
        <v>64</v>
      </c>
      <c r="B126">
        <v>4.7533000000000003</v>
      </c>
      <c r="C126">
        <v>9</v>
      </c>
    </row>
    <row r="127" spans="1:3" x14ac:dyDescent="0.2">
      <c r="A127" t="s">
        <v>64</v>
      </c>
      <c r="B127">
        <v>4.5999999999999996</v>
      </c>
      <c r="C127">
        <v>9</v>
      </c>
    </row>
    <row r="128" spans="1:3" x14ac:dyDescent="0.2">
      <c r="A128" t="s">
        <v>64</v>
      </c>
      <c r="B128">
        <v>5.1642000000000001</v>
      </c>
      <c r="C128">
        <v>9</v>
      </c>
    </row>
    <row r="129" spans="1:3" x14ac:dyDescent="0.2">
      <c r="A129" t="s">
        <v>64</v>
      </c>
      <c r="B129">
        <v>5.1477000000000004</v>
      </c>
      <c r="C129">
        <v>8</v>
      </c>
    </row>
    <row r="130" spans="1:3" x14ac:dyDescent="0.2">
      <c r="A130" t="s">
        <v>64</v>
      </c>
      <c r="B130">
        <v>4.7961</v>
      </c>
      <c r="C130">
        <v>9</v>
      </c>
    </row>
    <row r="131" spans="1:3" x14ac:dyDescent="0.2">
      <c r="A131" t="s">
        <v>64</v>
      </c>
      <c r="B131">
        <v>5.0518999999999998</v>
      </c>
      <c r="C131">
        <v>8</v>
      </c>
    </row>
    <row r="132" spans="1:3" x14ac:dyDescent="0.2">
      <c r="A132" t="s">
        <v>64</v>
      </c>
      <c r="B132">
        <v>4.4039000000000001</v>
      </c>
      <c r="C132">
        <v>8</v>
      </c>
    </row>
    <row r="133" spans="1:3" x14ac:dyDescent="0.2">
      <c r="A133" t="s">
        <v>64</v>
      </c>
      <c r="B133">
        <v>3.2858999999999998</v>
      </c>
      <c r="C133">
        <v>9</v>
      </c>
    </row>
    <row r="134" spans="1:3" x14ac:dyDescent="0.2">
      <c r="A134" t="s">
        <v>64</v>
      </c>
      <c r="B134">
        <v>2.9199000000000002</v>
      </c>
      <c r="C134">
        <v>9</v>
      </c>
    </row>
    <row r="135" spans="1:3" x14ac:dyDescent="0.2">
      <c r="A135" t="s">
        <v>64</v>
      </c>
      <c r="B135">
        <v>3.0051999999999999</v>
      </c>
      <c r="C135">
        <v>8</v>
      </c>
    </row>
    <row r="136" spans="1:3" x14ac:dyDescent="0.2">
      <c r="A136" t="s">
        <v>64</v>
      </c>
      <c r="B136">
        <v>2.4658000000000002</v>
      </c>
      <c r="C136">
        <v>7</v>
      </c>
    </row>
    <row r="137" spans="1:3" x14ac:dyDescent="0.2">
      <c r="A137" t="s">
        <v>64</v>
      </c>
      <c r="B137">
        <v>3.1156999999999999</v>
      </c>
      <c r="C137">
        <v>8</v>
      </c>
    </row>
    <row r="138" spans="1:3" x14ac:dyDescent="0.2">
      <c r="A138" t="s">
        <v>64</v>
      </c>
      <c r="B138">
        <v>2.6150000000000002</v>
      </c>
      <c r="C138">
        <v>6</v>
      </c>
    </row>
    <row r="139" spans="1:3" x14ac:dyDescent="0.2">
      <c r="A139" t="s">
        <v>64</v>
      </c>
      <c r="B139">
        <v>2.8622999999999998</v>
      </c>
      <c r="C139">
        <v>9</v>
      </c>
    </row>
    <row r="140" spans="1:3" x14ac:dyDescent="0.2">
      <c r="A140" t="s">
        <v>64</v>
      </c>
      <c r="B140">
        <v>2.4878999999999998</v>
      </c>
      <c r="C140">
        <v>9</v>
      </c>
    </row>
    <row r="141" spans="1:3" x14ac:dyDescent="0.2">
      <c r="A141" t="s">
        <v>64</v>
      </c>
      <c r="B141">
        <v>2.2290000000000001</v>
      </c>
      <c r="C141">
        <v>9</v>
      </c>
    </row>
    <row r="142" spans="1:3" x14ac:dyDescent="0.2">
      <c r="A142" t="s">
        <v>64</v>
      </c>
      <c r="B142">
        <v>1.5157</v>
      </c>
      <c r="C142">
        <v>9</v>
      </c>
    </row>
    <row r="143" spans="1:3" x14ac:dyDescent="0.2">
      <c r="A143" t="s">
        <v>64</v>
      </c>
      <c r="B143">
        <v>1.7118</v>
      </c>
      <c r="C143">
        <v>9</v>
      </c>
    </row>
    <row r="144" spans="1:3" x14ac:dyDescent="0.2">
      <c r="A144" t="s">
        <v>64</v>
      </c>
      <c r="B144">
        <v>2.0975999999999999</v>
      </c>
      <c r="C144">
        <v>9</v>
      </c>
    </row>
    <row r="145" spans="1:3" x14ac:dyDescent="0.2">
      <c r="A145" t="s">
        <v>64</v>
      </c>
      <c r="B145">
        <v>1.7816000000000001</v>
      </c>
      <c r="C145">
        <v>8</v>
      </c>
    </row>
    <row r="146" spans="1:3" x14ac:dyDescent="0.2">
      <c r="A146" t="s">
        <v>64</v>
      </c>
      <c r="B146">
        <v>1.3474999999999999</v>
      </c>
      <c r="C146">
        <v>6</v>
      </c>
    </row>
    <row r="147" spans="1:3" x14ac:dyDescent="0.2">
      <c r="A147" t="s">
        <v>64</v>
      </c>
      <c r="B147">
        <v>2.0789</v>
      </c>
      <c r="C147">
        <v>7</v>
      </c>
    </row>
    <row r="148" spans="1:3" x14ac:dyDescent="0.2">
      <c r="A148" t="s">
        <v>64</v>
      </c>
      <c r="B148">
        <v>2.6503000000000001</v>
      </c>
      <c r="C148">
        <v>8</v>
      </c>
    </row>
    <row r="149" spans="1:3" x14ac:dyDescent="0.2">
      <c r="A149" t="s">
        <v>64</v>
      </c>
      <c r="B149">
        <v>1.4095</v>
      </c>
      <c r="C149">
        <v>7</v>
      </c>
    </row>
    <row r="150" spans="1:3" x14ac:dyDescent="0.2">
      <c r="A150" t="s">
        <v>64</v>
      </c>
      <c r="B150">
        <v>1.0085</v>
      </c>
      <c r="C150">
        <v>6</v>
      </c>
    </row>
    <row r="151" spans="1:3" x14ac:dyDescent="0.2">
      <c r="A151" t="s">
        <v>64</v>
      </c>
      <c r="B151">
        <v>1.2307999999999999</v>
      </c>
      <c r="C151">
        <v>9</v>
      </c>
    </row>
    <row r="152" spans="1:3" x14ac:dyDescent="0.2">
      <c r="A152" t="s">
        <v>64</v>
      </c>
      <c r="B152">
        <v>1.3826000000000001</v>
      </c>
      <c r="C152">
        <v>5</v>
      </c>
    </row>
    <row r="153" spans="1:3" x14ac:dyDescent="0.2">
      <c r="A153" t="s">
        <v>64</v>
      </c>
      <c r="B153">
        <v>1.1455</v>
      </c>
      <c r="C153">
        <v>6</v>
      </c>
    </row>
    <row r="154" spans="1:3" x14ac:dyDescent="0.2">
      <c r="A154" t="s">
        <v>64</v>
      </c>
      <c r="B154">
        <v>1.3163</v>
      </c>
      <c r="C154">
        <v>3</v>
      </c>
    </row>
    <row r="155" spans="1:3" x14ac:dyDescent="0.2">
      <c r="A155" t="s">
        <v>64</v>
      </c>
      <c r="B155">
        <v>1.2407999999999999</v>
      </c>
      <c r="C155">
        <v>7</v>
      </c>
    </row>
    <row r="156" spans="1:3" x14ac:dyDescent="0.2">
      <c r="A156" t="s">
        <v>64</v>
      </c>
      <c r="B156">
        <v>0.7651</v>
      </c>
      <c r="C156">
        <v>7</v>
      </c>
    </row>
    <row r="157" spans="1:3" x14ac:dyDescent="0.2">
      <c r="A157" t="s">
        <v>64</v>
      </c>
      <c r="B157">
        <v>0.86040000000000005</v>
      </c>
      <c r="C157">
        <v>5</v>
      </c>
    </row>
    <row r="158" spans="1:3" x14ac:dyDescent="0.2">
      <c r="A158" t="s">
        <v>64</v>
      </c>
      <c r="B158">
        <v>1.1838</v>
      </c>
      <c r="C158">
        <v>8</v>
      </c>
    </row>
    <row r="159" spans="1:3" x14ac:dyDescent="0.2">
      <c r="A159" t="s">
        <v>64</v>
      </c>
      <c r="B159">
        <v>0.87690000000000001</v>
      </c>
      <c r="C159">
        <v>8</v>
      </c>
    </row>
    <row r="160" spans="1:3" x14ac:dyDescent="0.2">
      <c r="A160" t="s">
        <v>64</v>
      </c>
      <c r="B160">
        <v>1.0945</v>
      </c>
      <c r="C160">
        <v>6</v>
      </c>
    </row>
    <row r="161" spans="1:3" x14ac:dyDescent="0.2">
      <c r="A161" t="s">
        <v>64</v>
      </c>
      <c r="B161">
        <v>1.1974</v>
      </c>
      <c r="C161">
        <v>8</v>
      </c>
    </row>
    <row r="162" spans="1:3" x14ac:dyDescent="0.2">
      <c r="A162" t="s">
        <v>64</v>
      </c>
      <c r="B162">
        <v>1.5805</v>
      </c>
      <c r="C162">
        <v>9</v>
      </c>
    </row>
    <row r="163" spans="1:3" x14ac:dyDescent="0.2">
      <c r="A163" t="s">
        <v>64</v>
      </c>
      <c r="B163">
        <v>1.5959000000000001</v>
      </c>
      <c r="C163">
        <v>9</v>
      </c>
    </row>
    <row r="164" spans="1:3" x14ac:dyDescent="0.2">
      <c r="A164" t="s">
        <v>64</v>
      </c>
      <c r="B164">
        <v>3.2052</v>
      </c>
      <c r="C164">
        <v>7</v>
      </c>
    </row>
    <row r="165" spans="1:3" x14ac:dyDescent="0.2">
      <c r="A165" t="s">
        <v>64</v>
      </c>
      <c r="B165">
        <v>2.6545999999999998</v>
      </c>
      <c r="C165">
        <v>4</v>
      </c>
    </row>
    <row r="166" spans="1:3" x14ac:dyDescent="0.2">
      <c r="A166" t="s">
        <v>64</v>
      </c>
      <c r="B166">
        <v>2.9586999999999999</v>
      </c>
      <c r="C166">
        <v>9</v>
      </c>
    </row>
    <row r="167" spans="1:3" x14ac:dyDescent="0.2">
      <c r="A167" t="s">
        <v>64</v>
      </c>
      <c r="B167">
        <v>1.3407</v>
      </c>
      <c r="C167">
        <v>8</v>
      </c>
    </row>
    <row r="168" spans="1:3" x14ac:dyDescent="0.2">
      <c r="A168" t="s">
        <v>64</v>
      </c>
      <c r="B168">
        <v>0.79220000000000002</v>
      </c>
      <c r="C168">
        <v>8</v>
      </c>
    </row>
    <row r="169" spans="1:3" x14ac:dyDescent="0.2">
      <c r="A169" t="s">
        <v>64</v>
      </c>
      <c r="B169">
        <v>1.3798999999999999</v>
      </c>
      <c r="C169">
        <v>9</v>
      </c>
    </row>
    <row r="170" spans="1:3" x14ac:dyDescent="0.2">
      <c r="A170" t="s">
        <v>64</v>
      </c>
      <c r="B170">
        <v>0.51670000000000005</v>
      </c>
      <c r="C170">
        <v>7</v>
      </c>
    </row>
    <row r="171" spans="1:3" x14ac:dyDescent="0.2">
      <c r="A171" t="s">
        <v>64</v>
      </c>
      <c r="B171">
        <v>1.3681000000000001</v>
      </c>
      <c r="C171">
        <v>9</v>
      </c>
    </row>
    <row r="172" spans="1:3" x14ac:dyDescent="0.2">
      <c r="A172" t="s">
        <v>64</v>
      </c>
      <c r="B172">
        <v>1.8926000000000001</v>
      </c>
      <c r="C172">
        <v>7</v>
      </c>
    </row>
    <row r="173" spans="1:3" x14ac:dyDescent="0.2">
      <c r="A173" t="s">
        <v>64</v>
      </c>
      <c r="B173">
        <v>3.9994999999999998</v>
      </c>
      <c r="C173">
        <v>9</v>
      </c>
    </row>
    <row r="174" spans="1:3" x14ac:dyDescent="0.2">
      <c r="A174" t="s">
        <v>64</v>
      </c>
      <c r="B174">
        <v>3.2250000000000001</v>
      </c>
      <c r="C174">
        <v>9</v>
      </c>
    </row>
    <row r="175" spans="1:3" x14ac:dyDescent="0.2">
      <c r="A175" t="s">
        <v>64</v>
      </c>
      <c r="B175">
        <v>5.1684999999999999</v>
      </c>
      <c r="C175">
        <v>9</v>
      </c>
    </row>
    <row r="176" spans="1:3" x14ac:dyDescent="0.2">
      <c r="A176" t="s">
        <v>64</v>
      </c>
      <c r="B176">
        <v>3.7339000000000002</v>
      </c>
      <c r="C176">
        <v>9</v>
      </c>
    </row>
    <row r="177" spans="1:3" x14ac:dyDescent="0.2">
      <c r="A177" t="s">
        <v>64</v>
      </c>
      <c r="B177">
        <v>3.4954000000000001</v>
      </c>
      <c r="C177">
        <v>9</v>
      </c>
    </row>
    <row r="178" spans="1:3" x14ac:dyDescent="0.2">
      <c r="A178" t="s">
        <v>64</v>
      </c>
      <c r="B178">
        <v>3.1703000000000001</v>
      </c>
      <c r="C178">
        <v>8</v>
      </c>
    </row>
    <row r="179" spans="1:3" x14ac:dyDescent="0.2">
      <c r="A179" t="s">
        <v>64</v>
      </c>
      <c r="B179">
        <v>12.709</v>
      </c>
      <c r="C179">
        <v>4</v>
      </c>
    </row>
    <row r="180" spans="1:3" x14ac:dyDescent="0.2">
      <c r="A180" t="s">
        <v>64</v>
      </c>
      <c r="B180">
        <v>6.9191000000000003</v>
      </c>
      <c r="C180">
        <v>5</v>
      </c>
    </row>
    <row r="181" spans="1:3" x14ac:dyDescent="0.2">
      <c r="A181" t="s">
        <v>64</v>
      </c>
      <c r="B181">
        <v>9.4148999999999994</v>
      </c>
      <c r="C181">
        <v>5</v>
      </c>
    </row>
    <row r="182" spans="1:3" x14ac:dyDescent="0.2">
      <c r="A182" t="s">
        <v>64</v>
      </c>
      <c r="B182">
        <v>5.6955</v>
      </c>
      <c r="C182">
        <v>3</v>
      </c>
    </row>
    <row r="183" spans="1:3" x14ac:dyDescent="0.2">
      <c r="A183" t="s">
        <v>64</v>
      </c>
      <c r="B183">
        <v>4.2173999999999996</v>
      </c>
      <c r="C183">
        <v>1</v>
      </c>
    </row>
    <row r="184" spans="1:3" x14ac:dyDescent="0.2">
      <c r="A184" t="s">
        <v>64</v>
      </c>
      <c r="B184">
        <v>3.6006999999999998</v>
      </c>
      <c r="C184">
        <v>3</v>
      </c>
    </row>
    <row r="185" spans="1:3" x14ac:dyDescent="0.2">
      <c r="A185" t="s">
        <v>64</v>
      </c>
      <c r="B185">
        <v>3.0482999999999998</v>
      </c>
      <c r="C185">
        <v>1</v>
      </c>
    </row>
    <row r="186" spans="1:3" x14ac:dyDescent="0.2">
      <c r="A186" t="s">
        <v>64</v>
      </c>
      <c r="B186">
        <v>2.2016</v>
      </c>
      <c r="C186">
        <v>1</v>
      </c>
    </row>
    <row r="187" spans="1:3" x14ac:dyDescent="0.2">
      <c r="A187" t="s">
        <v>64</v>
      </c>
      <c r="B187">
        <v>1.3085</v>
      </c>
      <c r="C187">
        <v>4</v>
      </c>
    </row>
    <row r="188" spans="1:3" x14ac:dyDescent="0.2">
      <c r="A188" t="s">
        <v>64</v>
      </c>
      <c r="B188">
        <v>1.1632</v>
      </c>
      <c r="C188">
        <v>1</v>
      </c>
    </row>
    <row r="189" spans="1:3" x14ac:dyDescent="0.2">
      <c r="A189" t="s">
        <v>64</v>
      </c>
      <c r="B189">
        <v>1.661</v>
      </c>
      <c r="C189">
        <v>3</v>
      </c>
    </row>
    <row r="190" spans="1:3" x14ac:dyDescent="0.2">
      <c r="A190" t="s">
        <v>64</v>
      </c>
      <c r="B190">
        <v>0.73619999999999997</v>
      </c>
      <c r="C190">
        <v>1</v>
      </c>
    </row>
    <row r="191" spans="1:3" x14ac:dyDescent="0.2">
      <c r="A191" t="s">
        <v>64</v>
      </c>
      <c r="B191">
        <v>2.0589</v>
      </c>
      <c r="C191">
        <v>5</v>
      </c>
    </row>
    <row r="192" spans="1:3" x14ac:dyDescent="0.2">
      <c r="A192" t="s">
        <v>64</v>
      </c>
      <c r="B192">
        <v>2.8972000000000002</v>
      </c>
      <c r="C192">
        <v>3</v>
      </c>
    </row>
    <row r="193" spans="1:3" x14ac:dyDescent="0.2">
      <c r="A193" t="s">
        <v>64</v>
      </c>
      <c r="B193">
        <v>1.2315</v>
      </c>
      <c r="C193">
        <v>3</v>
      </c>
    </row>
    <row r="194" spans="1:3" x14ac:dyDescent="0.2">
      <c r="A194" t="s">
        <v>64</v>
      </c>
      <c r="B194">
        <v>1.5847</v>
      </c>
      <c r="C194">
        <v>4</v>
      </c>
    </row>
    <row r="195" spans="1:3" x14ac:dyDescent="0.2">
      <c r="A195" t="s">
        <v>64</v>
      </c>
      <c r="B195">
        <v>1.0503</v>
      </c>
      <c r="C195">
        <v>5</v>
      </c>
    </row>
    <row r="196" spans="1:3" x14ac:dyDescent="0.2">
      <c r="A196" t="s">
        <v>64</v>
      </c>
      <c r="B196">
        <v>1.6592</v>
      </c>
      <c r="C196">
        <v>2</v>
      </c>
    </row>
    <row r="197" spans="1:3" x14ac:dyDescent="0.2">
      <c r="A197" t="s">
        <v>64</v>
      </c>
      <c r="B197">
        <v>1.0216000000000001</v>
      </c>
      <c r="C197">
        <v>6</v>
      </c>
    </row>
    <row r="198" spans="1:3" x14ac:dyDescent="0.2">
      <c r="A198" t="s">
        <v>64</v>
      </c>
      <c r="B198">
        <v>1.1328</v>
      </c>
      <c r="C198">
        <v>4</v>
      </c>
    </row>
    <row r="199" spans="1:3" x14ac:dyDescent="0.2">
      <c r="A199" t="s">
        <v>64</v>
      </c>
      <c r="B199">
        <v>1.6073999999999999</v>
      </c>
      <c r="C199">
        <v>4</v>
      </c>
    </row>
    <row r="200" spans="1:3" x14ac:dyDescent="0.2">
      <c r="A200" t="s">
        <v>64</v>
      </c>
      <c r="B200">
        <v>1.0891</v>
      </c>
      <c r="C200">
        <v>6</v>
      </c>
    </row>
    <row r="201" spans="1:3" x14ac:dyDescent="0.2">
      <c r="A201" t="s">
        <v>64</v>
      </c>
      <c r="B201">
        <v>0.83909999999999996</v>
      </c>
      <c r="C201">
        <v>5</v>
      </c>
    </row>
    <row r="202" spans="1:3" x14ac:dyDescent="0.2">
      <c r="A202" t="s">
        <v>64</v>
      </c>
      <c r="B202">
        <v>1.5525</v>
      </c>
      <c r="C202">
        <v>4</v>
      </c>
    </row>
    <row r="203" spans="1:3" x14ac:dyDescent="0.2">
      <c r="A203" t="s">
        <v>64</v>
      </c>
      <c r="B203">
        <v>1.5141</v>
      </c>
      <c r="C203">
        <v>5</v>
      </c>
    </row>
    <row r="204" spans="1:3" x14ac:dyDescent="0.2">
      <c r="A204" t="s">
        <v>64</v>
      </c>
      <c r="B204">
        <v>1.4774</v>
      </c>
      <c r="C204">
        <v>5</v>
      </c>
    </row>
    <row r="205" spans="1:3" x14ac:dyDescent="0.2">
      <c r="A205" t="s">
        <v>64</v>
      </c>
      <c r="B205">
        <v>2.1025</v>
      </c>
      <c r="C205">
        <v>7</v>
      </c>
    </row>
    <row r="206" spans="1:3" x14ac:dyDescent="0.2">
      <c r="A206" t="s">
        <v>64</v>
      </c>
      <c r="B206">
        <v>2.6</v>
      </c>
      <c r="C206">
        <v>4</v>
      </c>
    </row>
    <row r="207" spans="1:3" x14ac:dyDescent="0.2">
      <c r="A207" t="s">
        <v>64</v>
      </c>
      <c r="B207">
        <v>2.6495000000000002</v>
      </c>
      <c r="C207">
        <v>8</v>
      </c>
    </row>
    <row r="208" spans="1:3" x14ac:dyDescent="0.2">
      <c r="A208" t="s">
        <v>64</v>
      </c>
      <c r="B208">
        <v>2.8334000000000001</v>
      </c>
      <c r="C208">
        <v>7</v>
      </c>
    </row>
    <row r="209" spans="1:3" x14ac:dyDescent="0.2">
      <c r="A209" t="s">
        <v>64</v>
      </c>
      <c r="B209">
        <v>3.1267999999999998</v>
      </c>
      <c r="C209">
        <v>8</v>
      </c>
    </row>
    <row r="210" spans="1:3" x14ac:dyDescent="0.2">
      <c r="A210" t="s">
        <v>64</v>
      </c>
      <c r="B210">
        <v>3.742</v>
      </c>
      <c r="C210">
        <v>9</v>
      </c>
    </row>
    <row r="211" spans="1:3" x14ac:dyDescent="0.2">
      <c r="A211" t="s">
        <v>64</v>
      </c>
      <c r="B211">
        <v>3.8460999999999999</v>
      </c>
      <c r="C211">
        <v>9</v>
      </c>
    </row>
    <row r="212" spans="1:3" x14ac:dyDescent="0.2">
      <c r="A212" t="s">
        <v>64</v>
      </c>
      <c r="B212">
        <v>4.3075000000000001</v>
      </c>
      <c r="C212">
        <v>8</v>
      </c>
    </row>
    <row r="213" spans="1:3" x14ac:dyDescent="0.2">
      <c r="A213" t="s">
        <v>64</v>
      </c>
      <c r="B213">
        <v>4.3297999999999996</v>
      </c>
      <c r="C213">
        <v>9</v>
      </c>
    </row>
    <row r="214" spans="1:3" x14ac:dyDescent="0.2">
      <c r="A214" t="s">
        <v>64</v>
      </c>
      <c r="B214">
        <v>4.9038000000000004</v>
      </c>
      <c r="C214">
        <v>9</v>
      </c>
    </row>
    <row r="215" spans="1:3" x14ac:dyDescent="0.2">
      <c r="A215" t="s">
        <v>64</v>
      </c>
      <c r="B215">
        <v>5.0224000000000002</v>
      </c>
      <c r="C215">
        <v>9</v>
      </c>
    </row>
    <row r="216" spans="1:3" x14ac:dyDescent="0.2">
      <c r="A216" t="s">
        <v>64</v>
      </c>
      <c r="B216">
        <v>4.6783999999999999</v>
      </c>
      <c r="C216">
        <v>9</v>
      </c>
    </row>
    <row r="217" spans="1:3" x14ac:dyDescent="0.2">
      <c r="A217" t="s">
        <v>64</v>
      </c>
      <c r="B217">
        <v>5.0194999999999999</v>
      </c>
      <c r="C217">
        <v>9</v>
      </c>
    </row>
    <row r="218" spans="1:3" x14ac:dyDescent="0.2">
      <c r="A218" t="s">
        <v>64</v>
      </c>
      <c r="B218">
        <v>5.0929000000000002</v>
      </c>
      <c r="C218">
        <v>5</v>
      </c>
    </row>
    <row r="219" spans="1:3" x14ac:dyDescent="0.2">
      <c r="A219" t="s">
        <v>64</v>
      </c>
      <c r="B219">
        <v>5.4770000000000003</v>
      </c>
      <c r="C219">
        <v>4</v>
      </c>
    </row>
    <row r="220" spans="1:3" x14ac:dyDescent="0.2">
      <c r="A220" t="s">
        <v>64</v>
      </c>
      <c r="B220">
        <v>15.813000000000001</v>
      </c>
      <c r="C220">
        <v>5</v>
      </c>
    </row>
    <row r="221" spans="1:3" x14ac:dyDescent="0.2">
      <c r="A221" t="s">
        <v>64</v>
      </c>
      <c r="B221">
        <v>18.853999999999999</v>
      </c>
      <c r="C221">
        <v>4</v>
      </c>
    </row>
    <row r="222" spans="1:3" x14ac:dyDescent="0.2">
      <c r="A222" t="s">
        <v>64</v>
      </c>
      <c r="B222">
        <v>18.824000000000002</v>
      </c>
      <c r="C222">
        <v>5</v>
      </c>
    </row>
    <row r="223" spans="1:3" x14ac:dyDescent="0.2">
      <c r="A223" t="s">
        <v>64</v>
      </c>
      <c r="B223">
        <v>16.635999999999999</v>
      </c>
      <c r="C223">
        <v>6</v>
      </c>
    </row>
    <row r="224" spans="1:3" x14ac:dyDescent="0.2">
      <c r="A224" t="s">
        <v>64</v>
      </c>
      <c r="B224">
        <v>13.662000000000001</v>
      </c>
      <c r="C224">
        <v>8</v>
      </c>
    </row>
    <row r="225" spans="1:3" x14ac:dyDescent="0.2">
      <c r="A225" t="s">
        <v>64</v>
      </c>
      <c r="B225">
        <v>11.651</v>
      </c>
      <c r="C225">
        <v>7</v>
      </c>
    </row>
    <row r="226" spans="1:3" x14ac:dyDescent="0.2">
      <c r="A226" t="s">
        <v>64</v>
      </c>
      <c r="B226">
        <v>8.2875999999999994</v>
      </c>
      <c r="C226">
        <v>4</v>
      </c>
    </row>
    <row r="227" spans="1:3" x14ac:dyDescent="0.2">
      <c r="A227" t="s">
        <v>64</v>
      </c>
      <c r="B227">
        <v>19.422000000000001</v>
      </c>
      <c r="C227">
        <v>3</v>
      </c>
    </row>
    <row r="228" spans="1:3" x14ac:dyDescent="0.2">
      <c r="A228" t="s">
        <v>64</v>
      </c>
      <c r="B228">
        <v>17.119</v>
      </c>
      <c r="C228">
        <v>8</v>
      </c>
    </row>
    <row r="229" spans="1:3" x14ac:dyDescent="0.2">
      <c r="A229" t="s">
        <v>64</v>
      </c>
      <c r="B229">
        <v>18.195</v>
      </c>
      <c r="C229">
        <v>3</v>
      </c>
    </row>
    <row r="230" spans="1:3" x14ac:dyDescent="0.2">
      <c r="A230" t="s">
        <v>64</v>
      </c>
      <c r="B230">
        <v>15.016999999999999</v>
      </c>
      <c r="C230">
        <v>4</v>
      </c>
    </row>
    <row r="231" spans="1:3" x14ac:dyDescent="0.2">
      <c r="A231" t="s">
        <v>64</v>
      </c>
      <c r="B231">
        <v>11.738</v>
      </c>
      <c r="C231">
        <v>4</v>
      </c>
    </row>
    <row r="232" spans="1:3" x14ac:dyDescent="0.2">
      <c r="A232" t="s">
        <v>64</v>
      </c>
      <c r="B232">
        <v>8.0517000000000003</v>
      </c>
      <c r="C232">
        <v>8</v>
      </c>
    </row>
    <row r="233" spans="1:3" x14ac:dyDescent="0.2">
      <c r="A233" t="s">
        <v>64</v>
      </c>
      <c r="B233">
        <v>9.8214000000000006</v>
      </c>
      <c r="C233">
        <v>8</v>
      </c>
    </row>
    <row r="234" spans="1:3" x14ac:dyDescent="0.2">
      <c r="A234" t="s">
        <v>64</v>
      </c>
      <c r="B234">
        <v>12.894</v>
      </c>
      <c r="C234">
        <v>7</v>
      </c>
    </row>
    <row r="235" spans="1:3" x14ac:dyDescent="0.2">
      <c r="A235" t="s">
        <v>64</v>
      </c>
      <c r="B235">
        <v>15.064</v>
      </c>
      <c r="C235">
        <v>4</v>
      </c>
    </row>
    <row r="236" spans="1:3" x14ac:dyDescent="0.2">
      <c r="A236" t="s">
        <v>64</v>
      </c>
      <c r="B236">
        <v>15.946999999999999</v>
      </c>
      <c r="C236">
        <v>9</v>
      </c>
    </row>
    <row r="237" spans="1:3" x14ac:dyDescent="0.2">
      <c r="A237" t="s">
        <v>64</v>
      </c>
      <c r="B237">
        <v>18.553999999999998</v>
      </c>
      <c r="C237">
        <v>8</v>
      </c>
    </row>
    <row r="238" spans="1:3" x14ac:dyDescent="0.2">
      <c r="A238" t="s">
        <v>64</v>
      </c>
      <c r="B238">
        <v>18.545999999999999</v>
      </c>
      <c r="C238">
        <v>3</v>
      </c>
    </row>
    <row r="239" spans="1:3" x14ac:dyDescent="0.2">
      <c r="A239" t="s">
        <v>64</v>
      </c>
      <c r="B239">
        <v>17.018000000000001</v>
      </c>
      <c r="C239">
        <v>9</v>
      </c>
    </row>
    <row r="240" spans="1:3" x14ac:dyDescent="0.2">
      <c r="A240" t="s">
        <v>64</v>
      </c>
      <c r="B240">
        <v>15.249000000000001</v>
      </c>
      <c r="C240">
        <v>6</v>
      </c>
    </row>
    <row r="241" spans="1:3" x14ac:dyDescent="0.2">
      <c r="A241" t="s">
        <v>64</v>
      </c>
      <c r="B241">
        <v>9.2855000000000008</v>
      </c>
      <c r="C241">
        <v>4</v>
      </c>
    </row>
    <row r="242" spans="1:3" x14ac:dyDescent="0.2">
      <c r="A242" t="s">
        <v>64</v>
      </c>
      <c r="B242">
        <v>7.1581000000000001</v>
      </c>
      <c r="C242">
        <v>1</v>
      </c>
    </row>
    <row r="243" spans="1:3" x14ac:dyDescent="0.2">
      <c r="A243" t="s">
        <v>64</v>
      </c>
      <c r="B243">
        <v>8.9692000000000007</v>
      </c>
      <c r="C243">
        <v>9</v>
      </c>
    </row>
    <row r="244" spans="1:3" x14ac:dyDescent="0.2">
      <c r="A244" t="s">
        <v>64</v>
      </c>
      <c r="B244">
        <v>12.211</v>
      </c>
      <c r="C244">
        <v>9</v>
      </c>
    </row>
    <row r="245" spans="1:3" x14ac:dyDescent="0.2">
      <c r="A245" t="s">
        <v>64</v>
      </c>
      <c r="B245">
        <v>15.436</v>
      </c>
      <c r="C245">
        <v>5</v>
      </c>
    </row>
    <row r="246" spans="1:3" x14ac:dyDescent="0.2">
      <c r="A246" t="s">
        <v>64</v>
      </c>
      <c r="B246">
        <v>17.548999999999999</v>
      </c>
      <c r="C246">
        <v>5</v>
      </c>
    </row>
    <row r="247" spans="1:3" x14ac:dyDescent="0.2">
      <c r="A247" t="s">
        <v>64</v>
      </c>
      <c r="B247">
        <v>18.012</v>
      </c>
      <c r="C247">
        <v>1</v>
      </c>
    </row>
    <row r="248" spans="1:3" x14ac:dyDescent="0.2">
      <c r="A248" t="s">
        <v>64</v>
      </c>
      <c r="B248">
        <v>16.646000000000001</v>
      </c>
      <c r="C248">
        <v>8</v>
      </c>
    </row>
    <row r="249" spans="1:3" x14ac:dyDescent="0.2">
      <c r="A249" t="s">
        <v>64</v>
      </c>
      <c r="B249">
        <v>15.234</v>
      </c>
      <c r="C249">
        <v>8</v>
      </c>
    </row>
    <row r="250" spans="1:3" x14ac:dyDescent="0.2">
      <c r="A250" t="s">
        <v>64</v>
      </c>
      <c r="B250">
        <v>12.419</v>
      </c>
      <c r="C250">
        <v>5</v>
      </c>
    </row>
    <row r="251" spans="1:3" x14ac:dyDescent="0.2">
      <c r="A251" t="s">
        <v>64</v>
      </c>
      <c r="B251">
        <v>7.923</v>
      </c>
      <c r="C251">
        <v>3</v>
      </c>
    </row>
    <row r="252" spans="1:3" x14ac:dyDescent="0.2">
      <c r="A252" t="s">
        <v>64</v>
      </c>
      <c r="B252">
        <v>9.4838000000000005</v>
      </c>
      <c r="C252">
        <v>5</v>
      </c>
    </row>
    <row r="253" spans="1:3" x14ac:dyDescent="0.2">
      <c r="A253" t="s">
        <v>64</v>
      </c>
      <c r="B253">
        <v>9.4923000000000002</v>
      </c>
      <c r="C253">
        <v>4</v>
      </c>
    </row>
    <row r="254" spans="1:3" x14ac:dyDescent="0.2">
      <c r="A254" t="s">
        <v>64</v>
      </c>
      <c r="B254">
        <v>11.616</v>
      </c>
      <c r="C254">
        <v>5</v>
      </c>
    </row>
    <row r="255" spans="1:3" x14ac:dyDescent="0.2">
      <c r="A255" t="s">
        <v>64</v>
      </c>
      <c r="B255">
        <v>14.757999999999999</v>
      </c>
      <c r="C255">
        <v>4</v>
      </c>
    </row>
    <row r="256" spans="1:3" x14ac:dyDescent="0.2">
      <c r="A256" t="s">
        <v>64</v>
      </c>
      <c r="B256">
        <v>17.579000000000001</v>
      </c>
      <c r="C256">
        <v>5</v>
      </c>
    </row>
    <row r="257" spans="1:3" x14ac:dyDescent="0.2">
      <c r="A257" t="s">
        <v>64</v>
      </c>
      <c r="B257">
        <v>16.154</v>
      </c>
      <c r="C257">
        <v>7</v>
      </c>
    </row>
    <row r="258" spans="1:3" x14ac:dyDescent="0.2">
      <c r="A258" t="s">
        <v>64</v>
      </c>
      <c r="B258">
        <v>12.932</v>
      </c>
      <c r="C258">
        <v>9</v>
      </c>
    </row>
    <row r="259" spans="1:3" x14ac:dyDescent="0.2">
      <c r="A259" t="s">
        <v>64</v>
      </c>
      <c r="B259">
        <v>6.3818999999999999</v>
      </c>
      <c r="C259">
        <v>5</v>
      </c>
    </row>
    <row r="260" spans="1:3" x14ac:dyDescent="0.2">
      <c r="A260" t="s">
        <v>64</v>
      </c>
      <c r="B260">
        <v>9.0907999999999998</v>
      </c>
      <c r="C260">
        <v>4</v>
      </c>
    </row>
    <row r="261" spans="1:3" x14ac:dyDescent="0.2">
      <c r="A261" t="s">
        <v>64</v>
      </c>
      <c r="B261">
        <v>7.4969000000000001</v>
      </c>
      <c r="C261">
        <v>3</v>
      </c>
    </row>
    <row r="262" spans="1:3" x14ac:dyDescent="0.2">
      <c r="A262" t="s">
        <v>64</v>
      </c>
      <c r="B262">
        <v>5.0907999999999998</v>
      </c>
      <c r="C262">
        <v>7</v>
      </c>
    </row>
    <row r="263" spans="1:3" x14ac:dyDescent="0.2">
      <c r="A263" t="s">
        <v>64</v>
      </c>
      <c r="B263">
        <v>4.9724000000000004</v>
      </c>
      <c r="C263">
        <v>7</v>
      </c>
    </row>
    <row r="264" spans="1:3" x14ac:dyDescent="0.2">
      <c r="A264" t="s">
        <v>64</v>
      </c>
      <c r="B264">
        <v>4.5369999999999999</v>
      </c>
      <c r="C264">
        <v>7</v>
      </c>
    </row>
    <row r="265" spans="1:3" x14ac:dyDescent="0.2">
      <c r="A265" t="s">
        <v>64</v>
      </c>
      <c r="B265">
        <v>3.444</v>
      </c>
      <c r="C265">
        <v>9</v>
      </c>
    </row>
    <row r="266" spans="1:3" x14ac:dyDescent="0.2">
      <c r="A266" t="s">
        <v>64</v>
      </c>
      <c r="B266">
        <v>3.1747999999999998</v>
      </c>
      <c r="C266">
        <v>8</v>
      </c>
    </row>
    <row r="267" spans="1:3" x14ac:dyDescent="0.2">
      <c r="A267" t="s">
        <v>64</v>
      </c>
      <c r="B267">
        <v>3.3542999999999998</v>
      </c>
      <c r="C267">
        <v>9</v>
      </c>
    </row>
    <row r="268" spans="1:3" x14ac:dyDescent="0.2">
      <c r="A268" t="s">
        <v>64</v>
      </c>
      <c r="B268">
        <v>3.6318000000000001</v>
      </c>
      <c r="C268">
        <v>8</v>
      </c>
    </row>
    <row r="269" spans="1:3" x14ac:dyDescent="0.2">
      <c r="A269" t="s">
        <v>64</v>
      </c>
      <c r="B269">
        <v>2.8355999999999999</v>
      </c>
      <c r="C269">
        <v>9</v>
      </c>
    </row>
    <row r="270" spans="1:3" x14ac:dyDescent="0.2">
      <c r="A270" t="s">
        <v>64</v>
      </c>
      <c r="B270">
        <v>2.8925000000000001</v>
      </c>
      <c r="C270">
        <v>9</v>
      </c>
    </row>
    <row r="271" spans="1:3" x14ac:dyDescent="0.2">
      <c r="A271" t="s">
        <v>64</v>
      </c>
      <c r="B271">
        <v>3.3826999999999998</v>
      </c>
      <c r="C271">
        <v>9</v>
      </c>
    </row>
    <row r="272" spans="1:3" x14ac:dyDescent="0.2">
      <c r="A272" t="s">
        <v>64</v>
      </c>
      <c r="B272">
        <v>2.5065</v>
      </c>
      <c r="C272">
        <v>9</v>
      </c>
    </row>
    <row r="273" spans="1:3" x14ac:dyDescent="0.2">
      <c r="A273" t="s">
        <v>64</v>
      </c>
      <c r="B273">
        <v>2.2277999999999998</v>
      </c>
      <c r="C273">
        <v>9</v>
      </c>
    </row>
    <row r="274" spans="1:3" x14ac:dyDescent="0.2">
      <c r="A274" t="s">
        <v>64</v>
      </c>
      <c r="B274">
        <v>2.8302</v>
      </c>
      <c r="C274">
        <v>9</v>
      </c>
    </row>
    <row r="275" spans="1:3" x14ac:dyDescent="0.2">
      <c r="A275" t="s">
        <v>64</v>
      </c>
      <c r="B275">
        <v>3.2616000000000001</v>
      </c>
      <c r="C275">
        <v>9</v>
      </c>
    </row>
    <row r="276" spans="1:3" x14ac:dyDescent="0.2">
      <c r="A276" t="s">
        <v>64</v>
      </c>
      <c r="B276">
        <v>4.2183999999999999</v>
      </c>
      <c r="C276">
        <v>9</v>
      </c>
    </row>
    <row r="277" spans="1:3" x14ac:dyDescent="0.2">
      <c r="A277" t="s">
        <v>64</v>
      </c>
      <c r="B277">
        <v>4.3246000000000002</v>
      </c>
      <c r="C277">
        <v>9</v>
      </c>
    </row>
    <row r="278" spans="1:3" x14ac:dyDescent="0.2">
      <c r="A278" t="s">
        <v>64</v>
      </c>
      <c r="B278">
        <v>3.9803000000000002</v>
      </c>
      <c r="C278">
        <v>7</v>
      </c>
    </row>
    <row r="279" spans="1:3" x14ac:dyDescent="0.2">
      <c r="A279" t="s">
        <v>64</v>
      </c>
      <c r="B279">
        <v>3.3534000000000002</v>
      </c>
      <c r="C279">
        <v>9</v>
      </c>
    </row>
    <row r="280" spans="1:3" x14ac:dyDescent="0.2">
      <c r="A280" t="s">
        <v>64</v>
      </c>
      <c r="B280">
        <v>3.7269999999999999</v>
      </c>
      <c r="C280">
        <v>9</v>
      </c>
    </row>
    <row r="281" spans="1:3" x14ac:dyDescent="0.2">
      <c r="A281" t="s">
        <v>64</v>
      </c>
      <c r="B281">
        <v>4.4542000000000002</v>
      </c>
      <c r="C281">
        <v>9</v>
      </c>
    </row>
    <row r="282" spans="1:3" x14ac:dyDescent="0.2">
      <c r="A282" t="s">
        <v>64</v>
      </c>
      <c r="B282">
        <v>4.1844000000000001</v>
      </c>
      <c r="C282">
        <v>7</v>
      </c>
    </row>
    <row r="283" spans="1:3" x14ac:dyDescent="0.2">
      <c r="A283" t="s">
        <v>64</v>
      </c>
      <c r="B283">
        <v>3.7547000000000001</v>
      </c>
      <c r="C283">
        <v>9</v>
      </c>
    </row>
    <row r="284" spans="1:3" x14ac:dyDescent="0.2">
      <c r="A284" t="s">
        <v>64</v>
      </c>
      <c r="B284">
        <v>3.7898999999999998</v>
      </c>
      <c r="C284">
        <v>6</v>
      </c>
    </row>
    <row r="285" spans="1:3" x14ac:dyDescent="0.2">
      <c r="A285" t="s">
        <v>64</v>
      </c>
      <c r="B285">
        <v>2.9531999999999998</v>
      </c>
      <c r="C285">
        <v>7</v>
      </c>
    </row>
    <row r="286" spans="1:3" x14ac:dyDescent="0.2">
      <c r="A286" t="s">
        <v>64</v>
      </c>
      <c r="B286">
        <v>2.8182999999999998</v>
      </c>
      <c r="C286">
        <v>7</v>
      </c>
    </row>
    <row r="287" spans="1:3" x14ac:dyDescent="0.2">
      <c r="A287" t="s">
        <v>64</v>
      </c>
      <c r="B287">
        <v>2.4775999999999998</v>
      </c>
      <c r="C287">
        <v>8</v>
      </c>
    </row>
    <row r="288" spans="1:3" x14ac:dyDescent="0.2">
      <c r="A288" t="s">
        <v>64</v>
      </c>
      <c r="B288">
        <v>2.2201</v>
      </c>
      <c r="C288">
        <v>7</v>
      </c>
    </row>
    <row r="289" spans="1:3" x14ac:dyDescent="0.2">
      <c r="A289" t="s">
        <v>64</v>
      </c>
      <c r="B289">
        <v>2.3915999999999999</v>
      </c>
      <c r="C289">
        <v>7</v>
      </c>
    </row>
    <row r="290" spans="1:3" x14ac:dyDescent="0.2">
      <c r="A290" t="s">
        <v>64</v>
      </c>
      <c r="B290">
        <v>2.2282999999999999</v>
      </c>
      <c r="C290">
        <v>9</v>
      </c>
    </row>
    <row r="291" spans="1:3" x14ac:dyDescent="0.2">
      <c r="A291" t="s">
        <v>64</v>
      </c>
      <c r="B291">
        <v>1.7673000000000001</v>
      </c>
      <c r="C291">
        <v>9</v>
      </c>
    </row>
    <row r="292" spans="1:3" x14ac:dyDescent="0.2">
      <c r="A292" t="s">
        <v>64</v>
      </c>
      <c r="B292">
        <v>2.4097</v>
      </c>
      <c r="C292">
        <v>5</v>
      </c>
    </row>
    <row r="293" spans="1:3" x14ac:dyDescent="0.2">
      <c r="A293" t="s">
        <v>64</v>
      </c>
      <c r="B293">
        <v>2.9342999999999999</v>
      </c>
      <c r="C293">
        <v>7</v>
      </c>
    </row>
    <row r="294" spans="1:3" x14ac:dyDescent="0.2">
      <c r="A294" t="s">
        <v>64</v>
      </c>
      <c r="B294">
        <v>2.7168000000000001</v>
      </c>
      <c r="C294">
        <v>9</v>
      </c>
    </row>
    <row r="295" spans="1:3" x14ac:dyDescent="0.2">
      <c r="A295" t="s">
        <v>64</v>
      </c>
      <c r="B295">
        <v>2.5928</v>
      </c>
      <c r="C295">
        <v>7</v>
      </c>
    </row>
    <row r="296" spans="1:3" x14ac:dyDescent="0.2">
      <c r="A296" t="s">
        <v>64</v>
      </c>
      <c r="B296">
        <v>2.7328999999999999</v>
      </c>
      <c r="C296">
        <v>4</v>
      </c>
    </row>
    <row r="297" spans="1:3" x14ac:dyDescent="0.2">
      <c r="A297" t="s">
        <v>64</v>
      </c>
      <c r="B297">
        <v>3.4901</v>
      </c>
      <c r="C297">
        <v>8</v>
      </c>
    </row>
    <row r="298" spans="1:3" x14ac:dyDescent="0.2">
      <c r="A298" t="s">
        <v>64</v>
      </c>
      <c r="B298">
        <v>3.2622</v>
      </c>
      <c r="C298">
        <v>8</v>
      </c>
    </row>
    <row r="299" spans="1:3" x14ac:dyDescent="0.2">
      <c r="A299" t="s">
        <v>64</v>
      </c>
      <c r="B299">
        <v>3.2639</v>
      </c>
      <c r="C299">
        <v>8</v>
      </c>
    </row>
    <row r="300" spans="1:3" x14ac:dyDescent="0.2">
      <c r="A300" t="s">
        <v>64</v>
      </c>
      <c r="B300">
        <v>4.3455000000000004</v>
      </c>
      <c r="C300">
        <v>7</v>
      </c>
    </row>
    <row r="301" spans="1:3" x14ac:dyDescent="0.2">
      <c r="A301" t="s">
        <v>64</v>
      </c>
      <c r="B301">
        <v>4.4020999999999999</v>
      </c>
      <c r="C301">
        <v>9</v>
      </c>
    </row>
    <row r="302" spans="1:3" x14ac:dyDescent="0.2">
      <c r="A302" t="s">
        <v>64</v>
      </c>
      <c r="B302">
        <v>5.8426999999999998</v>
      </c>
      <c r="C302">
        <v>7</v>
      </c>
    </row>
    <row r="303" spans="1:3" x14ac:dyDescent="0.2">
      <c r="A303" t="s">
        <v>64</v>
      </c>
      <c r="B303">
        <v>6.2821999999999996</v>
      </c>
      <c r="C303">
        <v>7</v>
      </c>
    </row>
    <row r="304" spans="1:3" x14ac:dyDescent="0.2">
      <c r="A304" t="s">
        <v>64</v>
      </c>
      <c r="B304">
        <v>8.3618000000000006</v>
      </c>
      <c r="C304">
        <v>9</v>
      </c>
    </row>
    <row r="305" spans="1:3" x14ac:dyDescent="0.2">
      <c r="A305" t="s">
        <v>64</v>
      </c>
      <c r="B305">
        <v>10.74</v>
      </c>
      <c r="C305">
        <v>8</v>
      </c>
    </row>
    <row r="306" spans="1:3" x14ac:dyDescent="0.2">
      <c r="A306" t="s">
        <v>64</v>
      </c>
      <c r="B306">
        <v>9.4411000000000005</v>
      </c>
      <c r="C306">
        <v>8</v>
      </c>
    </row>
    <row r="307" spans="1:3" x14ac:dyDescent="0.2">
      <c r="A307" t="s">
        <v>64</v>
      </c>
      <c r="B307">
        <v>8.5451999999999995</v>
      </c>
      <c r="C307">
        <v>7</v>
      </c>
    </row>
    <row r="308" spans="1:3" x14ac:dyDescent="0.2">
      <c r="A308" t="s">
        <v>64</v>
      </c>
      <c r="B308">
        <v>6.8971999999999998</v>
      </c>
      <c r="C308">
        <v>8</v>
      </c>
    </row>
    <row r="309" spans="1:3" x14ac:dyDescent="0.2">
      <c r="A309" t="s">
        <v>64</v>
      </c>
      <c r="B309">
        <v>6.8823999999999996</v>
      </c>
      <c r="C309">
        <v>9</v>
      </c>
    </row>
    <row r="310" spans="1:3" x14ac:dyDescent="0.2">
      <c r="A310" t="s">
        <v>64</v>
      </c>
      <c r="B310">
        <v>6.6269</v>
      </c>
      <c r="C310">
        <v>6</v>
      </c>
    </row>
    <row r="311" spans="1:3" x14ac:dyDescent="0.2">
      <c r="A311" t="s">
        <v>64</v>
      </c>
      <c r="B311">
        <v>5.4255000000000004</v>
      </c>
      <c r="C311">
        <v>5</v>
      </c>
    </row>
    <row r="312" spans="1:3" x14ac:dyDescent="0.2">
      <c r="A312" t="s">
        <v>64</v>
      </c>
      <c r="B312">
        <v>4.9061000000000003</v>
      </c>
      <c r="C312">
        <v>9</v>
      </c>
    </row>
    <row r="313" spans="1:3" x14ac:dyDescent="0.2">
      <c r="A313" t="s">
        <v>64</v>
      </c>
      <c r="B313">
        <v>5.0509000000000004</v>
      </c>
      <c r="C313">
        <v>9</v>
      </c>
    </row>
    <row r="314" spans="1:3" x14ac:dyDescent="0.2">
      <c r="A314" t="s">
        <v>64</v>
      </c>
      <c r="B314">
        <v>4.7141999999999999</v>
      </c>
      <c r="C314">
        <v>8</v>
      </c>
    </row>
    <row r="315" spans="1:3" x14ac:dyDescent="0.2">
      <c r="A315" t="s">
        <v>64</v>
      </c>
      <c r="B315">
        <v>3.9112</v>
      </c>
      <c r="C315">
        <v>9</v>
      </c>
    </row>
    <row r="316" spans="1:3" x14ac:dyDescent="0.2">
      <c r="A316" t="s">
        <v>64</v>
      </c>
      <c r="B316">
        <v>3.6825999999999999</v>
      </c>
      <c r="C316">
        <v>7</v>
      </c>
    </row>
    <row r="317" spans="1:3" x14ac:dyDescent="0.2">
      <c r="A317" t="s">
        <v>64</v>
      </c>
      <c r="B317">
        <v>3.8801999999999999</v>
      </c>
      <c r="C317">
        <v>8</v>
      </c>
    </row>
    <row r="318" spans="1:3" x14ac:dyDescent="0.2">
      <c r="A318" t="s">
        <v>64</v>
      </c>
      <c r="B318">
        <v>2.8043</v>
      </c>
      <c r="C318">
        <v>5</v>
      </c>
    </row>
    <row r="319" spans="1:3" x14ac:dyDescent="0.2">
      <c r="A319" t="s">
        <v>64</v>
      </c>
      <c r="B319">
        <v>1.6748000000000001</v>
      </c>
      <c r="C319">
        <v>8</v>
      </c>
    </row>
    <row r="320" spans="1:3" x14ac:dyDescent="0.2">
      <c r="A320" t="s">
        <v>64</v>
      </c>
      <c r="B320">
        <v>1.9484999999999999</v>
      </c>
      <c r="C320">
        <v>8</v>
      </c>
    </row>
    <row r="321" spans="1:3" x14ac:dyDescent="0.2">
      <c r="A321" t="s">
        <v>64</v>
      </c>
      <c r="B321">
        <v>1.9320999999999999</v>
      </c>
      <c r="C321">
        <v>9</v>
      </c>
    </row>
    <row r="322" spans="1:3" x14ac:dyDescent="0.2">
      <c r="A322" t="s">
        <v>64</v>
      </c>
      <c r="B322">
        <v>1.9532</v>
      </c>
      <c r="C322">
        <v>9</v>
      </c>
    </row>
    <row r="323" spans="1:3" x14ac:dyDescent="0.2">
      <c r="A323" t="s">
        <v>64</v>
      </c>
      <c r="B323">
        <v>1.8244</v>
      </c>
      <c r="C323">
        <v>9</v>
      </c>
    </row>
    <row r="324" spans="1:3" x14ac:dyDescent="0.2">
      <c r="A324" t="s">
        <v>64</v>
      </c>
      <c r="B324">
        <v>1.2873000000000001</v>
      </c>
      <c r="C324">
        <v>7</v>
      </c>
    </row>
    <row r="325" spans="1:3" x14ac:dyDescent="0.2">
      <c r="A325" t="s">
        <v>64</v>
      </c>
      <c r="B325">
        <v>1.3693</v>
      </c>
      <c r="C325">
        <v>8</v>
      </c>
    </row>
    <row r="326" spans="1:3" x14ac:dyDescent="0.2">
      <c r="A326" t="s">
        <v>64</v>
      </c>
      <c r="B326">
        <v>0.9345</v>
      </c>
      <c r="C326">
        <v>9</v>
      </c>
    </row>
    <row r="327" spans="1:3" x14ac:dyDescent="0.2">
      <c r="A327" t="s">
        <v>64</v>
      </c>
      <c r="B327">
        <v>1.1838</v>
      </c>
      <c r="C327">
        <v>6</v>
      </c>
    </row>
    <row r="328" spans="1:3" x14ac:dyDescent="0.2">
      <c r="A328" t="s">
        <v>64</v>
      </c>
      <c r="B328">
        <v>0.46279999999999999</v>
      </c>
      <c r="C328">
        <v>9</v>
      </c>
    </row>
    <row r="329" spans="1:3" x14ac:dyDescent="0.2">
      <c r="A329" t="s">
        <v>64</v>
      </c>
      <c r="B329">
        <v>0.31440000000000001</v>
      </c>
      <c r="C329">
        <v>7</v>
      </c>
    </row>
    <row r="330" spans="1:3" x14ac:dyDescent="0.2">
      <c r="A330" t="s">
        <v>64</v>
      </c>
      <c r="B330">
        <v>1.1113</v>
      </c>
      <c r="C330">
        <v>7</v>
      </c>
    </row>
    <row r="331" spans="1:3" x14ac:dyDescent="0.2">
      <c r="A331" t="s">
        <v>64</v>
      </c>
      <c r="B331">
        <v>1.1349</v>
      </c>
      <c r="C331">
        <v>7</v>
      </c>
    </row>
    <row r="332" spans="1:3" x14ac:dyDescent="0.2">
      <c r="A332" t="s">
        <v>64</v>
      </c>
      <c r="B332">
        <v>1.0986</v>
      </c>
      <c r="C332">
        <v>5</v>
      </c>
    </row>
    <row r="333" spans="1:3" x14ac:dyDescent="0.2">
      <c r="A333" t="s">
        <v>64</v>
      </c>
      <c r="B333">
        <v>1.0826</v>
      </c>
      <c r="C333">
        <v>9</v>
      </c>
    </row>
    <row r="334" spans="1:3" x14ac:dyDescent="0.2">
      <c r="A334" t="s">
        <v>64</v>
      </c>
      <c r="B334">
        <v>0.74</v>
      </c>
      <c r="C334">
        <v>8</v>
      </c>
    </row>
    <row r="335" spans="1:3" x14ac:dyDescent="0.2">
      <c r="A335" t="s">
        <v>64</v>
      </c>
      <c r="B335">
        <v>1.1256999999999999</v>
      </c>
      <c r="C335">
        <v>9</v>
      </c>
    </row>
    <row r="336" spans="1:3" x14ac:dyDescent="0.2">
      <c r="A336" t="s">
        <v>64</v>
      </c>
      <c r="B336">
        <v>0.86839999999999995</v>
      </c>
      <c r="C336">
        <v>7</v>
      </c>
    </row>
    <row r="337" spans="1:3" x14ac:dyDescent="0.2">
      <c r="A337" t="s">
        <v>64</v>
      </c>
      <c r="B337">
        <v>0.79310000000000003</v>
      </c>
      <c r="C337">
        <v>8</v>
      </c>
    </row>
    <row r="338" spans="1:3" x14ac:dyDescent="0.2">
      <c r="A338" t="s">
        <v>64</v>
      </c>
      <c r="B338">
        <v>1.1292</v>
      </c>
      <c r="C338">
        <v>7</v>
      </c>
    </row>
    <row r="339" spans="1:3" x14ac:dyDescent="0.2">
      <c r="A339" t="s">
        <v>64</v>
      </c>
      <c r="B339">
        <v>1.6577</v>
      </c>
      <c r="C339">
        <v>4</v>
      </c>
    </row>
    <row r="340" spans="1:3" x14ac:dyDescent="0.2">
      <c r="A340" t="s">
        <v>64</v>
      </c>
      <c r="B340">
        <v>1.4752000000000001</v>
      </c>
      <c r="C340">
        <v>7</v>
      </c>
    </row>
    <row r="341" spans="1:3" x14ac:dyDescent="0.2">
      <c r="A341" t="s">
        <v>64</v>
      </c>
      <c r="B341">
        <v>2.0731000000000002</v>
      </c>
      <c r="C341">
        <v>4</v>
      </c>
    </row>
    <row r="342" spans="1:3" x14ac:dyDescent="0.2">
      <c r="A342" t="s">
        <v>64</v>
      </c>
      <c r="B342">
        <v>2.2299000000000002</v>
      </c>
      <c r="C342">
        <v>9</v>
      </c>
    </row>
    <row r="343" spans="1:3" x14ac:dyDescent="0.2">
      <c r="A343" t="s">
        <v>64</v>
      </c>
      <c r="B343">
        <v>2.5851000000000002</v>
      </c>
      <c r="C343">
        <v>8</v>
      </c>
    </row>
    <row r="344" spans="1:3" x14ac:dyDescent="0.2">
      <c r="A344" t="s">
        <v>64</v>
      </c>
      <c r="B344">
        <v>3.0398999999999998</v>
      </c>
      <c r="C344">
        <v>5</v>
      </c>
    </row>
    <row r="345" spans="1:3" x14ac:dyDescent="0.2">
      <c r="A345" t="s">
        <v>64</v>
      </c>
      <c r="B345">
        <v>2.8652000000000002</v>
      </c>
      <c r="C345">
        <v>8</v>
      </c>
    </row>
    <row r="346" spans="1:3" x14ac:dyDescent="0.2">
      <c r="A346" t="s">
        <v>64</v>
      </c>
      <c r="B346">
        <v>3.6322999999999999</v>
      </c>
      <c r="C346">
        <v>8</v>
      </c>
    </row>
    <row r="347" spans="1:3" x14ac:dyDescent="0.2">
      <c r="A347" t="s">
        <v>64</v>
      </c>
      <c r="B347">
        <v>4.3159000000000001</v>
      </c>
      <c r="C347">
        <v>6</v>
      </c>
    </row>
    <row r="348" spans="1:3" x14ac:dyDescent="0.2">
      <c r="A348" t="s">
        <v>64</v>
      </c>
      <c r="B348">
        <v>4.2644000000000002</v>
      </c>
      <c r="C348">
        <v>9</v>
      </c>
    </row>
    <row r="349" spans="1:3" x14ac:dyDescent="0.2">
      <c r="A349" t="s">
        <v>64</v>
      </c>
      <c r="B349">
        <v>4.4377000000000004</v>
      </c>
      <c r="C349">
        <v>9</v>
      </c>
    </row>
    <row r="350" spans="1:3" x14ac:dyDescent="0.2">
      <c r="A350" t="s">
        <v>64</v>
      </c>
      <c r="B350">
        <v>3.7812000000000001</v>
      </c>
      <c r="C350">
        <v>6</v>
      </c>
    </row>
    <row r="351" spans="1:3" x14ac:dyDescent="0.2">
      <c r="A351" t="s">
        <v>64</v>
      </c>
      <c r="B351">
        <v>5.0068999999999999</v>
      </c>
      <c r="C351">
        <v>8</v>
      </c>
    </row>
    <row r="352" spans="1:3" x14ac:dyDescent="0.2">
      <c r="A352" t="s">
        <v>64</v>
      </c>
      <c r="B352">
        <v>6.5922000000000001</v>
      </c>
      <c r="C352">
        <v>7</v>
      </c>
    </row>
    <row r="353" spans="1:3" x14ac:dyDescent="0.2">
      <c r="A353" t="s">
        <v>64</v>
      </c>
      <c r="B353">
        <v>6.2682000000000002</v>
      </c>
      <c r="C353">
        <v>9</v>
      </c>
    </row>
    <row r="354" spans="1:3" x14ac:dyDescent="0.2">
      <c r="A354" t="s">
        <v>64</v>
      </c>
      <c r="B354">
        <v>9.8050999999999995</v>
      </c>
      <c r="C354">
        <v>5</v>
      </c>
    </row>
    <row r="355" spans="1:3" x14ac:dyDescent="0.2">
      <c r="A355" t="s">
        <v>64</v>
      </c>
      <c r="B355">
        <v>12.961</v>
      </c>
      <c r="C355">
        <v>7</v>
      </c>
    </row>
    <row r="356" spans="1:3" x14ac:dyDescent="0.2">
      <c r="A356" t="s">
        <v>64</v>
      </c>
      <c r="B356">
        <v>10.124000000000001</v>
      </c>
      <c r="C356">
        <v>8</v>
      </c>
    </row>
    <row r="357" spans="1:3" x14ac:dyDescent="0.2">
      <c r="A357" t="s">
        <v>64</v>
      </c>
      <c r="B357">
        <v>7.2511999999999999</v>
      </c>
      <c r="C357">
        <v>6</v>
      </c>
    </row>
    <row r="358" spans="1:3" x14ac:dyDescent="0.2">
      <c r="A358" t="s">
        <v>64</v>
      </c>
      <c r="B358">
        <v>7.08</v>
      </c>
      <c r="C358">
        <v>4</v>
      </c>
    </row>
    <row r="359" spans="1:3" x14ac:dyDescent="0.2">
      <c r="A359" t="s">
        <v>64</v>
      </c>
      <c r="B359">
        <v>5.3106</v>
      </c>
      <c r="C359">
        <v>9</v>
      </c>
    </row>
    <row r="360" spans="1:3" x14ac:dyDescent="0.2">
      <c r="A360" t="s">
        <v>64</v>
      </c>
      <c r="B360">
        <v>4.9800000000000004</v>
      </c>
      <c r="C360">
        <v>9</v>
      </c>
    </row>
    <row r="361" spans="1:3" x14ac:dyDescent="0.2">
      <c r="A361" t="s">
        <v>64</v>
      </c>
      <c r="B361">
        <v>5.3041999999999998</v>
      </c>
      <c r="C361">
        <v>7</v>
      </c>
    </row>
    <row r="362" spans="1:3" x14ac:dyDescent="0.2">
      <c r="A362" t="s">
        <v>64</v>
      </c>
      <c r="B362">
        <v>4.7778</v>
      </c>
      <c r="C362">
        <v>6</v>
      </c>
    </row>
    <row r="363" spans="1:3" x14ac:dyDescent="0.2">
      <c r="A363" t="s">
        <v>64</v>
      </c>
      <c r="B363">
        <v>3.2263999999999999</v>
      </c>
      <c r="C363">
        <v>9</v>
      </c>
    </row>
    <row r="364" spans="1:3" x14ac:dyDescent="0.2">
      <c r="A364" t="s">
        <v>64</v>
      </c>
      <c r="B364">
        <v>2.8008000000000002</v>
      </c>
      <c r="C364">
        <v>8</v>
      </c>
    </row>
    <row r="365" spans="1:3" x14ac:dyDescent="0.2">
      <c r="A365" t="s">
        <v>64</v>
      </c>
      <c r="B365">
        <v>3.0487000000000002</v>
      </c>
      <c r="C365">
        <v>3</v>
      </c>
    </row>
    <row r="366" spans="1:3" x14ac:dyDescent="0.2">
      <c r="A366" t="s">
        <v>64</v>
      </c>
      <c r="B366">
        <v>2.9123000000000001</v>
      </c>
      <c r="C366">
        <v>8</v>
      </c>
    </row>
    <row r="367" spans="1:3" x14ac:dyDescent="0.2">
      <c r="A367" t="s">
        <v>64</v>
      </c>
      <c r="B367">
        <v>1.7475000000000001</v>
      </c>
      <c r="C367">
        <v>9</v>
      </c>
    </row>
    <row r="368" spans="1:3" x14ac:dyDescent="0.2">
      <c r="A368" t="s">
        <v>64</v>
      </c>
      <c r="B368">
        <v>1.9372</v>
      </c>
      <c r="C368">
        <v>7</v>
      </c>
    </row>
    <row r="369" spans="1:3" x14ac:dyDescent="0.2">
      <c r="A369" t="s">
        <v>64</v>
      </c>
      <c r="B369">
        <v>2.4121000000000001</v>
      </c>
      <c r="C369">
        <v>1</v>
      </c>
    </row>
    <row r="370" spans="1:3" x14ac:dyDescent="0.2">
      <c r="A370" t="s">
        <v>64</v>
      </c>
      <c r="B370">
        <v>2.0823</v>
      </c>
      <c r="C370">
        <v>9</v>
      </c>
    </row>
    <row r="371" spans="1:3" x14ac:dyDescent="0.2">
      <c r="A371" t="s">
        <v>64</v>
      </c>
      <c r="B371">
        <v>2.0565000000000002</v>
      </c>
      <c r="C371">
        <v>9</v>
      </c>
    </row>
    <row r="372" spans="1:3" x14ac:dyDescent="0.2">
      <c r="A372" t="s">
        <v>64</v>
      </c>
      <c r="B372">
        <v>2.7831000000000001</v>
      </c>
      <c r="C372">
        <v>6</v>
      </c>
    </row>
    <row r="373" spans="1:3" x14ac:dyDescent="0.2">
      <c r="A373" t="s">
        <v>64</v>
      </c>
      <c r="B373">
        <v>2.4965000000000002</v>
      </c>
      <c r="C373">
        <v>6</v>
      </c>
    </row>
    <row r="374" spans="1:3" x14ac:dyDescent="0.2">
      <c r="A374" t="s">
        <v>64</v>
      </c>
      <c r="B374">
        <v>2.4904000000000002</v>
      </c>
      <c r="C374">
        <v>7</v>
      </c>
    </row>
    <row r="375" spans="1:3" x14ac:dyDescent="0.2">
      <c r="A375" t="s">
        <v>64</v>
      </c>
      <c r="B375">
        <v>3.6825000000000001</v>
      </c>
      <c r="C375">
        <v>7</v>
      </c>
    </row>
    <row r="376" spans="1:3" x14ac:dyDescent="0.2">
      <c r="A376" t="s">
        <v>64</v>
      </c>
      <c r="B376">
        <v>2.3984000000000001</v>
      </c>
      <c r="C376">
        <v>9</v>
      </c>
    </row>
    <row r="377" spans="1:3" x14ac:dyDescent="0.2">
      <c r="A377" t="s">
        <v>33</v>
      </c>
      <c r="B377">
        <v>8.1354000000000006</v>
      </c>
      <c r="C377">
        <v>1</v>
      </c>
    </row>
    <row r="378" spans="1:3" x14ac:dyDescent="0.2">
      <c r="A378" t="s">
        <v>33</v>
      </c>
      <c r="B378">
        <v>7.7565999999999997</v>
      </c>
      <c r="C378">
        <v>2</v>
      </c>
    </row>
    <row r="379" spans="1:3" x14ac:dyDescent="0.2">
      <c r="A379" t="s">
        <v>33</v>
      </c>
      <c r="B379">
        <v>6.3781999999999996</v>
      </c>
      <c r="C379">
        <v>3</v>
      </c>
    </row>
    <row r="380" spans="1:3" x14ac:dyDescent="0.2">
      <c r="A380" t="s">
        <v>33</v>
      </c>
      <c r="B380">
        <v>4.4443000000000001</v>
      </c>
      <c r="C380">
        <v>2</v>
      </c>
    </row>
    <row r="381" spans="1:3" x14ac:dyDescent="0.2">
      <c r="A381" t="s">
        <v>33</v>
      </c>
      <c r="B381">
        <v>4.1989999999999998</v>
      </c>
      <c r="C381">
        <v>4</v>
      </c>
    </row>
    <row r="382" spans="1:3" x14ac:dyDescent="0.2">
      <c r="A382" t="s">
        <v>33</v>
      </c>
      <c r="B382">
        <v>4.4659000000000004</v>
      </c>
      <c r="C382">
        <v>3</v>
      </c>
    </row>
    <row r="383" spans="1:3" x14ac:dyDescent="0.2">
      <c r="A383" t="s">
        <v>33</v>
      </c>
      <c r="B383">
        <v>4.3354999999999997</v>
      </c>
      <c r="C383">
        <v>4</v>
      </c>
    </row>
    <row r="384" spans="1:3" x14ac:dyDescent="0.2">
      <c r="A384" t="s">
        <v>33</v>
      </c>
      <c r="B384">
        <v>5.1443000000000003</v>
      </c>
      <c r="C384">
        <v>5</v>
      </c>
    </row>
    <row r="385" spans="1:3" x14ac:dyDescent="0.2">
      <c r="A385" t="s">
        <v>33</v>
      </c>
      <c r="B385">
        <v>5.1539000000000001</v>
      </c>
      <c r="C385">
        <v>3</v>
      </c>
    </row>
    <row r="386" spans="1:3" x14ac:dyDescent="0.2">
      <c r="A386" t="s">
        <v>33</v>
      </c>
      <c r="B386">
        <v>5.3589000000000002</v>
      </c>
      <c r="C386">
        <v>4</v>
      </c>
    </row>
    <row r="387" spans="1:3" x14ac:dyDescent="0.2">
      <c r="A387" t="s">
        <v>33</v>
      </c>
      <c r="B387">
        <v>4.5494000000000003</v>
      </c>
      <c r="C387">
        <v>5</v>
      </c>
    </row>
    <row r="388" spans="1:3" x14ac:dyDescent="0.2">
      <c r="A388" t="s">
        <v>33</v>
      </c>
      <c r="B388">
        <v>3.9660000000000002</v>
      </c>
      <c r="C388">
        <v>4</v>
      </c>
    </row>
    <row r="389" spans="1:3" x14ac:dyDescent="0.2">
      <c r="A389" t="s">
        <v>33</v>
      </c>
      <c r="B389">
        <v>4.5133000000000001</v>
      </c>
      <c r="C389">
        <v>6</v>
      </c>
    </row>
    <row r="390" spans="1:3" x14ac:dyDescent="0.2">
      <c r="A390" t="s">
        <v>33</v>
      </c>
      <c r="B390">
        <v>4.4265999999999996</v>
      </c>
      <c r="C390">
        <v>6</v>
      </c>
    </row>
    <row r="391" spans="1:3" x14ac:dyDescent="0.2">
      <c r="A391" t="s">
        <v>33</v>
      </c>
      <c r="B391">
        <v>2.6852999999999998</v>
      </c>
      <c r="C391">
        <v>8</v>
      </c>
    </row>
    <row r="392" spans="1:3" x14ac:dyDescent="0.2">
      <c r="A392" t="s">
        <v>33</v>
      </c>
      <c r="B392">
        <v>3.6398999999999999</v>
      </c>
      <c r="C392">
        <v>6</v>
      </c>
    </row>
    <row r="393" spans="1:3" x14ac:dyDescent="0.2">
      <c r="A393" t="s">
        <v>33</v>
      </c>
      <c r="B393">
        <v>2.3923999999999999</v>
      </c>
      <c r="C393">
        <v>9</v>
      </c>
    </row>
    <row r="394" spans="1:3" x14ac:dyDescent="0.2">
      <c r="A394" t="s">
        <v>33</v>
      </c>
      <c r="B394">
        <v>3.1697000000000002</v>
      </c>
      <c r="C394">
        <v>9</v>
      </c>
    </row>
    <row r="395" spans="1:3" x14ac:dyDescent="0.2">
      <c r="A395" t="s">
        <v>33</v>
      </c>
      <c r="B395">
        <v>3.2509999999999999</v>
      </c>
      <c r="C395">
        <v>4</v>
      </c>
    </row>
    <row r="396" spans="1:3" x14ac:dyDescent="0.2">
      <c r="A396" t="s">
        <v>33</v>
      </c>
      <c r="B396">
        <v>3.1838000000000002</v>
      </c>
      <c r="C396">
        <v>7</v>
      </c>
    </row>
    <row r="397" spans="1:3" x14ac:dyDescent="0.2">
      <c r="A397" t="s">
        <v>33</v>
      </c>
      <c r="B397">
        <v>3.8557999999999999</v>
      </c>
      <c r="C397">
        <v>8</v>
      </c>
    </row>
    <row r="398" spans="1:3" x14ac:dyDescent="0.2">
      <c r="A398" t="s">
        <v>33</v>
      </c>
      <c r="B398">
        <v>2.8778000000000001</v>
      </c>
      <c r="C398">
        <v>8</v>
      </c>
    </row>
    <row r="399" spans="1:3" x14ac:dyDescent="0.2">
      <c r="A399" t="s">
        <v>33</v>
      </c>
      <c r="B399">
        <v>3.8824000000000001</v>
      </c>
      <c r="C399">
        <v>9</v>
      </c>
    </row>
    <row r="400" spans="1:3" x14ac:dyDescent="0.2">
      <c r="A400" t="s">
        <v>33</v>
      </c>
      <c r="B400">
        <v>2.4668999999999999</v>
      </c>
      <c r="C400">
        <v>8</v>
      </c>
    </row>
    <row r="401" spans="1:3" x14ac:dyDescent="0.2">
      <c r="A401" t="s">
        <v>33</v>
      </c>
      <c r="B401">
        <v>2.1032000000000002</v>
      </c>
      <c r="C401">
        <v>6</v>
      </c>
    </row>
    <row r="402" spans="1:3" x14ac:dyDescent="0.2">
      <c r="A402" t="s">
        <v>33</v>
      </c>
      <c r="B402">
        <v>2.1261999999999999</v>
      </c>
      <c r="C402">
        <v>9</v>
      </c>
    </row>
    <row r="403" spans="1:3" x14ac:dyDescent="0.2">
      <c r="A403" t="s">
        <v>33</v>
      </c>
      <c r="B403">
        <v>1.3001</v>
      </c>
      <c r="C403">
        <v>9</v>
      </c>
    </row>
    <row r="404" spans="1:3" x14ac:dyDescent="0.2">
      <c r="A404" t="s">
        <v>33</v>
      </c>
      <c r="B404">
        <v>1.3729</v>
      </c>
      <c r="C404">
        <v>8</v>
      </c>
    </row>
    <row r="405" spans="1:3" x14ac:dyDescent="0.2">
      <c r="A405" t="s">
        <v>33</v>
      </c>
      <c r="B405">
        <v>1.2484</v>
      </c>
      <c r="C405">
        <v>9</v>
      </c>
    </row>
    <row r="406" spans="1:3" x14ac:dyDescent="0.2">
      <c r="A406" t="s">
        <v>33</v>
      </c>
      <c r="B406">
        <v>2.9117999999999999</v>
      </c>
      <c r="C406">
        <v>9</v>
      </c>
    </row>
    <row r="407" spans="1:3" x14ac:dyDescent="0.2">
      <c r="A407" t="s">
        <v>33</v>
      </c>
      <c r="B407">
        <v>4.9981999999999998</v>
      </c>
      <c r="C407">
        <v>9</v>
      </c>
    </row>
    <row r="408" spans="1:3" x14ac:dyDescent="0.2">
      <c r="A408" t="s">
        <v>33</v>
      </c>
      <c r="B408">
        <v>4.4455999999999998</v>
      </c>
      <c r="C408">
        <v>5</v>
      </c>
    </row>
    <row r="409" spans="1:3" x14ac:dyDescent="0.2">
      <c r="A409" t="s">
        <v>33</v>
      </c>
      <c r="B409">
        <v>2.6248999999999998</v>
      </c>
      <c r="C409">
        <v>9</v>
      </c>
    </row>
    <row r="410" spans="1:3" x14ac:dyDescent="0.2">
      <c r="A410" t="s">
        <v>33</v>
      </c>
      <c r="B410">
        <v>1.0022</v>
      </c>
      <c r="C410">
        <v>8</v>
      </c>
    </row>
    <row r="411" spans="1:3" x14ac:dyDescent="0.2">
      <c r="A411" t="s">
        <v>33</v>
      </c>
      <c r="B411">
        <v>4.4703999999999997</v>
      </c>
      <c r="C411">
        <v>5</v>
      </c>
    </row>
    <row r="412" spans="1:3" x14ac:dyDescent="0.2">
      <c r="A412" t="s">
        <v>33</v>
      </c>
      <c r="B412">
        <v>4.7214999999999998</v>
      </c>
      <c r="C412">
        <v>7</v>
      </c>
    </row>
    <row r="413" spans="1:3" x14ac:dyDescent="0.2">
      <c r="A413" t="s">
        <v>33</v>
      </c>
      <c r="B413">
        <v>3.8633999999999999</v>
      </c>
      <c r="C413">
        <v>5</v>
      </c>
    </row>
    <row r="414" spans="1:3" x14ac:dyDescent="0.2">
      <c r="A414" t="s">
        <v>33</v>
      </c>
      <c r="B414">
        <v>5.4015000000000004</v>
      </c>
      <c r="C414">
        <v>8</v>
      </c>
    </row>
    <row r="415" spans="1:3" x14ac:dyDescent="0.2">
      <c r="A415" t="s">
        <v>33</v>
      </c>
      <c r="B415">
        <v>0.91969999999999996</v>
      </c>
      <c r="C415">
        <v>8</v>
      </c>
    </row>
    <row r="416" spans="1:3" x14ac:dyDescent="0.2">
      <c r="A416" t="s">
        <v>33</v>
      </c>
      <c r="B416">
        <v>0.74919999999999998</v>
      </c>
      <c r="C416">
        <v>9</v>
      </c>
    </row>
    <row r="417" spans="1:3" x14ac:dyDescent="0.2">
      <c r="A417" t="s">
        <v>33</v>
      </c>
      <c r="B417">
        <v>0.28810000000000002</v>
      </c>
      <c r="C417">
        <v>7</v>
      </c>
    </row>
    <row r="418" spans="1:3" x14ac:dyDescent="0.2">
      <c r="A418" t="s">
        <v>33</v>
      </c>
      <c r="B418">
        <v>0.44350000000000001</v>
      </c>
      <c r="C418">
        <v>4</v>
      </c>
    </row>
    <row r="419" spans="1:3" x14ac:dyDescent="0.2">
      <c r="A419" t="s">
        <v>33</v>
      </c>
      <c r="B419">
        <v>0.43809999999999999</v>
      </c>
      <c r="C419">
        <v>9</v>
      </c>
    </row>
    <row r="420" spans="1:3" x14ac:dyDescent="0.2">
      <c r="A420" t="s">
        <v>33</v>
      </c>
      <c r="B420">
        <v>0.72940000000000005</v>
      </c>
      <c r="C420">
        <v>9</v>
      </c>
    </row>
    <row r="421" spans="1:3" x14ac:dyDescent="0.2">
      <c r="A421" t="s">
        <v>33</v>
      </c>
      <c r="B421">
        <v>0.97760000000000002</v>
      </c>
      <c r="C421">
        <v>7</v>
      </c>
    </row>
    <row r="422" spans="1:3" x14ac:dyDescent="0.2">
      <c r="A422" t="s">
        <v>33</v>
      </c>
      <c r="B422">
        <v>0.65359999999999996</v>
      </c>
      <c r="C422">
        <v>6</v>
      </c>
    </row>
    <row r="423" spans="1:3" x14ac:dyDescent="0.2">
      <c r="A423" t="s">
        <v>33</v>
      </c>
      <c r="B423">
        <v>0.35389999999999999</v>
      </c>
      <c r="C423">
        <v>8</v>
      </c>
    </row>
    <row r="424" spans="1:3" x14ac:dyDescent="0.2">
      <c r="A424" t="s">
        <v>33</v>
      </c>
      <c r="B424">
        <v>1.8250999999999999</v>
      </c>
      <c r="C424">
        <v>9</v>
      </c>
    </row>
    <row r="425" spans="1:3" x14ac:dyDescent="0.2">
      <c r="A425" t="s">
        <v>33</v>
      </c>
      <c r="B425">
        <v>1.6660999999999999</v>
      </c>
      <c r="C425">
        <v>9</v>
      </c>
    </row>
    <row r="426" spans="1:3" x14ac:dyDescent="0.2">
      <c r="A426" t="s">
        <v>33</v>
      </c>
      <c r="B426">
        <v>0.61050000000000004</v>
      </c>
      <c r="C426">
        <v>9</v>
      </c>
    </row>
    <row r="427" spans="1:3" x14ac:dyDescent="0.2">
      <c r="A427" t="s">
        <v>33</v>
      </c>
      <c r="B427">
        <v>1.0760000000000001</v>
      </c>
      <c r="C427">
        <v>5</v>
      </c>
    </row>
    <row r="428" spans="1:3" x14ac:dyDescent="0.2">
      <c r="A428" t="s">
        <v>33</v>
      </c>
      <c r="B428">
        <v>0.79400000000000004</v>
      </c>
      <c r="C428">
        <v>8</v>
      </c>
    </row>
    <row r="429" spans="1:3" x14ac:dyDescent="0.2">
      <c r="A429" t="s">
        <v>33</v>
      </c>
      <c r="B429">
        <v>0.59830000000000005</v>
      </c>
      <c r="C429">
        <v>8</v>
      </c>
    </row>
    <row r="430" spans="1:3" x14ac:dyDescent="0.2">
      <c r="A430" t="s">
        <v>33</v>
      </c>
      <c r="B430">
        <v>1.2307999999999999</v>
      </c>
      <c r="C430">
        <v>9</v>
      </c>
    </row>
    <row r="431" spans="1:3" x14ac:dyDescent="0.2">
      <c r="A431" t="s">
        <v>33</v>
      </c>
      <c r="B431">
        <v>0.87280000000000002</v>
      </c>
      <c r="C431">
        <v>9</v>
      </c>
    </row>
    <row r="432" spans="1:3" x14ac:dyDescent="0.2">
      <c r="A432" t="s">
        <v>33</v>
      </c>
      <c r="B432">
        <v>1.8795999999999999</v>
      </c>
      <c r="C432">
        <v>9</v>
      </c>
    </row>
    <row r="433" spans="1:3" x14ac:dyDescent="0.2">
      <c r="A433" t="s">
        <v>33</v>
      </c>
      <c r="B433">
        <v>1.5093000000000001</v>
      </c>
      <c r="C433">
        <v>9</v>
      </c>
    </row>
    <row r="434" spans="1:3" x14ac:dyDescent="0.2">
      <c r="A434" t="s">
        <v>33</v>
      </c>
      <c r="B434">
        <v>0.31380000000000002</v>
      </c>
      <c r="C434">
        <v>9</v>
      </c>
    </row>
    <row r="435" spans="1:3" x14ac:dyDescent="0.2">
      <c r="A435" t="s">
        <v>33</v>
      </c>
      <c r="B435">
        <v>3.4712999999999998</v>
      </c>
      <c r="C435">
        <v>6</v>
      </c>
    </row>
    <row r="436" spans="1:3" x14ac:dyDescent="0.2">
      <c r="A436" t="s">
        <v>33</v>
      </c>
      <c r="B436">
        <v>1.1572</v>
      </c>
      <c r="C436">
        <v>4</v>
      </c>
    </row>
    <row r="437" spans="1:3" x14ac:dyDescent="0.2">
      <c r="A437" t="s">
        <v>33</v>
      </c>
      <c r="B437">
        <v>0.46250000000000002</v>
      </c>
      <c r="C437">
        <v>9</v>
      </c>
    </row>
    <row r="438" spans="1:3" x14ac:dyDescent="0.2">
      <c r="A438" t="s">
        <v>33</v>
      </c>
      <c r="B438">
        <v>1.1498999999999999</v>
      </c>
      <c r="C438">
        <v>9</v>
      </c>
    </row>
    <row r="439" spans="1:3" x14ac:dyDescent="0.2">
      <c r="A439" t="s">
        <v>33</v>
      </c>
      <c r="B439">
        <v>3.2423999999999999</v>
      </c>
      <c r="C439">
        <v>9</v>
      </c>
    </row>
    <row r="440" spans="1:3" x14ac:dyDescent="0.2">
      <c r="A440" t="s">
        <v>33</v>
      </c>
      <c r="B440">
        <v>4.1345000000000001</v>
      </c>
      <c r="C440">
        <v>8</v>
      </c>
    </row>
    <row r="441" spans="1:3" x14ac:dyDescent="0.2">
      <c r="A441" t="s">
        <v>33</v>
      </c>
      <c r="B441">
        <v>4.2244000000000002</v>
      </c>
      <c r="C441">
        <v>4</v>
      </c>
    </row>
    <row r="442" spans="1:3" x14ac:dyDescent="0.2">
      <c r="A442" t="s">
        <v>33</v>
      </c>
      <c r="B442">
        <v>4.2260999999999997</v>
      </c>
      <c r="C442">
        <v>7</v>
      </c>
    </row>
    <row r="443" spans="1:3" x14ac:dyDescent="0.2">
      <c r="A443" t="s">
        <v>33</v>
      </c>
      <c r="B443">
        <v>3.0106999999999999</v>
      </c>
      <c r="C443">
        <v>8</v>
      </c>
    </row>
    <row r="444" spans="1:3" x14ac:dyDescent="0.2">
      <c r="A444" t="s">
        <v>33</v>
      </c>
      <c r="B444">
        <v>1.0670999999999999</v>
      </c>
      <c r="C444">
        <v>9</v>
      </c>
    </row>
    <row r="445" spans="1:3" x14ac:dyDescent="0.2">
      <c r="A445" t="s">
        <v>33</v>
      </c>
      <c r="B445">
        <v>1.113</v>
      </c>
      <c r="C445">
        <v>9</v>
      </c>
    </row>
    <row r="446" spans="1:3" x14ac:dyDescent="0.2">
      <c r="A446" t="s">
        <v>33</v>
      </c>
      <c r="B446">
        <v>1.9708000000000001</v>
      </c>
      <c r="C446">
        <v>9</v>
      </c>
    </row>
    <row r="447" spans="1:3" x14ac:dyDescent="0.2">
      <c r="A447" t="s">
        <v>33</v>
      </c>
      <c r="B447">
        <v>2.2442000000000002</v>
      </c>
      <c r="C447">
        <v>8</v>
      </c>
    </row>
    <row r="448" spans="1:3" x14ac:dyDescent="0.2">
      <c r="A448" t="s">
        <v>33</v>
      </c>
      <c r="B448">
        <v>1.6753</v>
      </c>
      <c r="C448">
        <v>4</v>
      </c>
    </row>
    <row r="449" spans="1:3" x14ac:dyDescent="0.2">
      <c r="A449" t="s">
        <v>33</v>
      </c>
      <c r="B449">
        <v>2.8769</v>
      </c>
      <c r="C449">
        <v>9</v>
      </c>
    </row>
    <row r="450" spans="1:3" x14ac:dyDescent="0.2">
      <c r="A450" t="s">
        <v>33</v>
      </c>
      <c r="B450">
        <v>3.2837000000000001</v>
      </c>
      <c r="C450">
        <v>9</v>
      </c>
    </row>
    <row r="451" spans="1:3" x14ac:dyDescent="0.2">
      <c r="A451" t="s">
        <v>33</v>
      </c>
      <c r="B451">
        <v>2.8157999999999999</v>
      </c>
      <c r="C451">
        <v>9</v>
      </c>
    </row>
    <row r="452" spans="1:3" x14ac:dyDescent="0.2">
      <c r="A452" t="s">
        <v>33</v>
      </c>
      <c r="B452">
        <v>3.2778</v>
      </c>
      <c r="C452">
        <v>9</v>
      </c>
    </row>
    <row r="453" spans="1:3" x14ac:dyDescent="0.2">
      <c r="A453" t="s">
        <v>33</v>
      </c>
      <c r="B453">
        <v>3.6528999999999998</v>
      </c>
      <c r="C453">
        <v>8</v>
      </c>
    </row>
    <row r="454" spans="1:3" x14ac:dyDescent="0.2">
      <c r="A454" t="s">
        <v>33</v>
      </c>
      <c r="B454">
        <v>4.6814999999999998</v>
      </c>
      <c r="C454">
        <v>8</v>
      </c>
    </row>
    <row r="455" spans="1:3" x14ac:dyDescent="0.2">
      <c r="A455" t="s">
        <v>33</v>
      </c>
      <c r="B455">
        <v>5.3506999999999998</v>
      </c>
      <c r="C455">
        <v>9</v>
      </c>
    </row>
    <row r="456" spans="1:3" x14ac:dyDescent="0.2">
      <c r="A456" t="s">
        <v>33</v>
      </c>
      <c r="B456">
        <v>5.3315000000000001</v>
      </c>
      <c r="C456">
        <v>4</v>
      </c>
    </row>
    <row r="457" spans="1:3" x14ac:dyDescent="0.2">
      <c r="A457" t="s">
        <v>33</v>
      </c>
      <c r="B457">
        <v>5.4393000000000002</v>
      </c>
      <c r="C457">
        <v>8</v>
      </c>
    </row>
    <row r="458" spans="1:3" x14ac:dyDescent="0.2">
      <c r="A458" t="s">
        <v>33</v>
      </c>
      <c r="B458">
        <v>5.3367000000000004</v>
      </c>
      <c r="C458">
        <v>9</v>
      </c>
    </row>
    <row r="459" spans="1:3" x14ac:dyDescent="0.2">
      <c r="A459" t="s">
        <v>33</v>
      </c>
      <c r="B459">
        <v>4.8394000000000004</v>
      </c>
      <c r="C459">
        <v>5</v>
      </c>
    </row>
    <row r="460" spans="1:3" x14ac:dyDescent="0.2">
      <c r="A460" t="s">
        <v>33</v>
      </c>
      <c r="B460">
        <v>3.7014</v>
      </c>
      <c r="C460">
        <v>7</v>
      </c>
    </row>
    <row r="461" spans="1:3" x14ac:dyDescent="0.2">
      <c r="A461" t="s">
        <v>33</v>
      </c>
      <c r="B461">
        <v>3.6865999999999999</v>
      </c>
      <c r="C461">
        <v>4</v>
      </c>
    </row>
    <row r="462" spans="1:3" x14ac:dyDescent="0.2">
      <c r="A462" t="s">
        <v>33</v>
      </c>
      <c r="B462">
        <v>1.8403</v>
      </c>
      <c r="C462">
        <v>3</v>
      </c>
    </row>
    <row r="463" spans="1:3" x14ac:dyDescent="0.2">
      <c r="A463" t="s">
        <v>33</v>
      </c>
      <c r="B463">
        <v>2.5396000000000001</v>
      </c>
      <c r="C463">
        <v>5</v>
      </c>
    </row>
    <row r="464" spans="1:3" x14ac:dyDescent="0.2">
      <c r="A464" t="s">
        <v>33</v>
      </c>
      <c r="B464">
        <v>4.1840999999999999</v>
      </c>
      <c r="C464">
        <v>5</v>
      </c>
    </row>
    <row r="465" spans="1:3" x14ac:dyDescent="0.2">
      <c r="A465" t="s">
        <v>33</v>
      </c>
      <c r="B465">
        <v>4.1809000000000003</v>
      </c>
      <c r="C465">
        <v>5</v>
      </c>
    </row>
    <row r="466" spans="1:3" x14ac:dyDescent="0.2">
      <c r="A466" t="s">
        <v>33</v>
      </c>
      <c r="B466">
        <v>4.2732999999999999</v>
      </c>
      <c r="C466">
        <v>4</v>
      </c>
    </row>
    <row r="467" spans="1:3" x14ac:dyDescent="0.2">
      <c r="A467" t="s">
        <v>33</v>
      </c>
      <c r="B467">
        <v>4.4203000000000001</v>
      </c>
      <c r="C467">
        <v>5</v>
      </c>
    </row>
    <row r="468" spans="1:3" x14ac:dyDescent="0.2">
      <c r="A468" t="s">
        <v>33</v>
      </c>
      <c r="B468">
        <v>5.0621999999999998</v>
      </c>
      <c r="C468">
        <v>1</v>
      </c>
    </row>
    <row r="469" spans="1:3" x14ac:dyDescent="0.2">
      <c r="A469" t="s">
        <v>33</v>
      </c>
      <c r="B469">
        <v>9.6973000000000003</v>
      </c>
      <c r="C469">
        <v>6</v>
      </c>
    </row>
    <row r="470" spans="1:3" x14ac:dyDescent="0.2">
      <c r="A470" t="s">
        <v>33</v>
      </c>
      <c r="B470">
        <v>10.833</v>
      </c>
      <c r="C470">
        <v>5</v>
      </c>
    </row>
    <row r="471" spans="1:3" x14ac:dyDescent="0.2">
      <c r="A471" t="s">
        <v>33</v>
      </c>
      <c r="B471">
        <v>7.2805</v>
      </c>
      <c r="C471">
        <v>5</v>
      </c>
    </row>
    <row r="472" spans="1:3" x14ac:dyDescent="0.2">
      <c r="A472" t="s">
        <v>33</v>
      </c>
      <c r="B472">
        <v>3.0605000000000002</v>
      </c>
      <c r="C472">
        <v>4</v>
      </c>
    </row>
    <row r="473" spans="1:3" x14ac:dyDescent="0.2">
      <c r="A473" t="s">
        <v>33</v>
      </c>
      <c r="B473">
        <v>4.0945999999999998</v>
      </c>
      <c r="C473">
        <v>4</v>
      </c>
    </row>
    <row r="474" spans="1:3" x14ac:dyDescent="0.2">
      <c r="A474" t="s">
        <v>33</v>
      </c>
      <c r="B474">
        <v>5.2827000000000002</v>
      </c>
      <c r="C474">
        <v>4</v>
      </c>
    </row>
    <row r="475" spans="1:3" x14ac:dyDescent="0.2">
      <c r="A475" t="s">
        <v>33</v>
      </c>
      <c r="B475">
        <v>5.9893000000000001</v>
      </c>
      <c r="C475">
        <v>5</v>
      </c>
    </row>
    <row r="476" spans="1:3" x14ac:dyDescent="0.2">
      <c r="A476" t="s">
        <v>33</v>
      </c>
      <c r="B476">
        <v>7.4623999999999997</v>
      </c>
      <c r="C476">
        <v>3</v>
      </c>
    </row>
    <row r="477" spans="1:3" x14ac:dyDescent="0.2">
      <c r="A477" t="s">
        <v>33</v>
      </c>
      <c r="B477">
        <v>7.1254</v>
      </c>
      <c r="C477">
        <v>4</v>
      </c>
    </row>
    <row r="478" spans="1:3" x14ac:dyDescent="0.2">
      <c r="A478" t="s">
        <v>33</v>
      </c>
      <c r="B478">
        <v>5.8846999999999996</v>
      </c>
      <c r="C478">
        <v>1</v>
      </c>
    </row>
    <row r="479" spans="1:3" x14ac:dyDescent="0.2">
      <c r="A479" t="s">
        <v>33</v>
      </c>
      <c r="B479">
        <v>5.8638000000000003</v>
      </c>
      <c r="C479">
        <v>3</v>
      </c>
    </row>
    <row r="480" spans="1:3" x14ac:dyDescent="0.2">
      <c r="A480" t="s">
        <v>33</v>
      </c>
      <c r="B480">
        <v>5.2168000000000001</v>
      </c>
      <c r="C480">
        <v>5</v>
      </c>
    </row>
    <row r="481" spans="1:3" x14ac:dyDescent="0.2">
      <c r="A481" t="s">
        <v>33</v>
      </c>
      <c r="B481">
        <v>4.3437000000000001</v>
      </c>
      <c r="C481">
        <v>1</v>
      </c>
    </row>
    <row r="482" spans="1:3" x14ac:dyDescent="0.2">
      <c r="A482" t="s">
        <v>33</v>
      </c>
      <c r="B482">
        <v>3.2393000000000001</v>
      </c>
      <c r="C482">
        <v>4</v>
      </c>
    </row>
    <row r="483" spans="1:3" x14ac:dyDescent="0.2">
      <c r="A483" t="s">
        <v>33</v>
      </c>
      <c r="B483">
        <v>2.7008000000000001</v>
      </c>
      <c r="C483">
        <v>1</v>
      </c>
    </row>
    <row r="484" spans="1:3" x14ac:dyDescent="0.2">
      <c r="A484" t="s">
        <v>33</v>
      </c>
      <c r="B484">
        <v>2.2275</v>
      </c>
      <c r="C484">
        <v>3</v>
      </c>
    </row>
    <row r="485" spans="1:3" x14ac:dyDescent="0.2">
      <c r="A485" t="s">
        <v>33</v>
      </c>
      <c r="B485">
        <v>1.9748000000000001</v>
      </c>
      <c r="C485">
        <v>3</v>
      </c>
    </row>
    <row r="486" spans="1:3" x14ac:dyDescent="0.2">
      <c r="A486" t="s">
        <v>33</v>
      </c>
      <c r="B486">
        <v>2.3201000000000001</v>
      </c>
      <c r="C486">
        <v>1</v>
      </c>
    </row>
    <row r="487" spans="1:3" x14ac:dyDescent="0.2">
      <c r="A487" t="s">
        <v>33</v>
      </c>
      <c r="B487">
        <v>1.1299999999999999</v>
      </c>
      <c r="C487">
        <v>4</v>
      </c>
    </row>
    <row r="488" spans="1:3" x14ac:dyDescent="0.2">
      <c r="A488" t="s">
        <v>33</v>
      </c>
      <c r="B488">
        <v>0.31619999999999998</v>
      </c>
      <c r="C488">
        <v>1</v>
      </c>
    </row>
    <row r="489" spans="1:3" x14ac:dyDescent="0.2">
      <c r="A489" t="s">
        <v>33</v>
      </c>
      <c r="B489">
        <v>1.5344</v>
      </c>
      <c r="C489">
        <v>5</v>
      </c>
    </row>
    <row r="490" spans="1:3" x14ac:dyDescent="0.2">
      <c r="A490" t="s">
        <v>33</v>
      </c>
      <c r="B490">
        <v>1.3389</v>
      </c>
      <c r="C490">
        <v>2</v>
      </c>
    </row>
    <row r="491" spans="1:3" x14ac:dyDescent="0.2">
      <c r="A491" t="s">
        <v>33</v>
      </c>
      <c r="B491">
        <v>3.0468999999999999</v>
      </c>
      <c r="C491">
        <v>3</v>
      </c>
    </row>
    <row r="492" spans="1:3" x14ac:dyDescent="0.2">
      <c r="A492" t="s">
        <v>33</v>
      </c>
      <c r="B492">
        <v>3.1873</v>
      </c>
      <c r="C492">
        <v>3</v>
      </c>
    </row>
    <row r="493" spans="1:3" x14ac:dyDescent="0.2">
      <c r="A493" t="s">
        <v>33</v>
      </c>
      <c r="B493">
        <v>2.4544999999999999</v>
      </c>
      <c r="C493">
        <v>3</v>
      </c>
    </row>
    <row r="494" spans="1:3" x14ac:dyDescent="0.2">
      <c r="A494" t="s">
        <v>33</v>
      </c>
      <c r="B494">
        <v>1.8267</v>
      </c>
      <c r="C494">
        <v>4</v>
      </c>
    </row>
    <row r="495" spans="1:3" x14ac:dyDescent="0.2">
      <c r="A495" t="s">
        <v>33</v>
      </c>
      <c r="B495">
        <v>1.571</v>
      </c>
      <c r="C495">
        <v>3</v>
      </c>
    </row>
    <row r="496" spans="1:3" x14ac:dyDescent="0.2">
      <c r="A496" t="s">
        <v>33</v>
      </c>
      <c r="B496">
        <v>1.3514999999999999</v>
      </c>
      <c r="C496">
        <v>4</v>
      </c>
    </row>
    <row r="497" spans="1:3" x14ac:dyDescent="0.2">
      <c r="A497" t="s">
        <v>33</v>
      </c>
      <c r="B497">
        <v>5.3823999999999996</v>
      </c>
      <c r="C497">
        <v>9</v>
      </c>
    </row>
    <row r="498" spans="1:3" x14ac:dyDescent="0.2">
      <c r="A498" t="s">
        <v>33</v>
      </c>
      <c r="B498">
        <v>5.4211999999999998</v>
      </c>
      <c r="C498">
        <v>9</v>
      </c>
    </row>
    <row r="499" spans="1:3" x14ac:dyDescent="0.2">
      <c r="A499" t="s">
        <v>33</v>
      </c>
      <c r="B499">
        <v>5.4907000000000004</v>
      </c>
      <c r="C499">
        <v>7</v>
      </c>
    </row>
    <row r="500" spans="1:3" x14ac:dyDescent="0.2">
      <c r="A500" t="s">
        <v>33</v>
      </c>
      <c r="B500">
        <v>5.3457999999999997</v>
      </c>
      <c r="C500">
        <v>5</v>
      </c>
    </row>
    <row r="501" spans="1:3" x14ac:dyDescent="0.2">
      <c r="A501" t="s">
        <v>33</v>
      </c>
      <c r="B501">
        <v>5.3712999999999997</v>
      </c>
      <c r="C501">
        <v>9</v>
      </c>
    </row>
    <row r="502" spans="1:3" x14ac:dyDescent="0.2">
      <c r="A502" t="s">
        <v>33</v>
      </c>
      <c r="B502">
        <v>5.3433000000000002</v>
      </c>
      <c r="C502">
        <v>3</v>
      </c>
    </row>
    <row r="503" spans="1:3" x14ac:dyDescent="0.2">
      <c r="A503" t="s">
        <v>33</v>
      </c>
      <c r="B503">
        <v>4.8384</v>
      </c>
      <c r="C503">
        <v>5</v>
      </c>
    </row>
    <row r="504" spans="1:3" x14ac:dyDescent="0.2">
      <c r="A504" t="s">
        <v>33</v>
      </c>
      <c r="B504">
        <v>4.9318999999999997</v>
      </c>
      <c r="C504">
        <v>4</v>
      </c>
    </row>
    <row r="505" spans="1:3" x14ac:dyDescent="0.2">
      <c r="A505" t="s">
        <v>33</v>
      </c>
      <c r="B505">
        <v>5.0503999999999998</v>
      </c>
      <c r="C505">
        <v>8</v>
      </c>
    </row>
    <row r="506" spans="1:3" x14ac:dyDescent="0.2">
      <c r="A506" t="s">
        <v>33</v>
      </c>
      <c r="B506">
        <v>5.4165999999999999</v>
      </c>
      <c r="C506">
        <v>4</v>
      </c>
    </row>
    <row r="507" spans="1:3" x14ac:dyDescent="0.2">
      <c r="A507" t="s">
        <v>33</v>
      </c>
      <c r="B507">
        <v>6.0740999999999996</v>
      </c>
      <c r="C507">
        <v>6</v>
      </c>
    </row>
    <row r="508" spans="1:3" x14ac:dyDescent="0.2">
      <c r="A508" t="s">
        <v>33</v>
      </c>
      <c r="B508">
        <v>5.8552999999999997</v>
      </c>
      <c r="C508">
        <v>4</v>
      </c>
    </row>
    <row r="509" spans="1:3" x14ac:dyDescent="0.2">
      <c r="A509" t="s">
        <v>33</v>
      </c>
      <c r="B509">
        <v>7.3209999999999997</v>
      </c>
      <c r="C509">
        <v>6</v>
      </c>
    </row>
    <row r="510" spans="1:3" x14ac:dyDescent="0.2">
      <c r="A510" t="s">
        <v>33</v>
      </c>
      <c r="B510">
        <v>9.6859000000000002</v>
      </c>
      <c r="C510">
        <v>1</v>
      </c>
    </row>
    <row r="511" spans="1:3" x14ac:dyDescent="0.2">
      <c r="A511" t="s">
        <v>33</v>
      </c>
      <c r="B511">
        <v>11.978</v>
      </c>
      <c r="C511">
        <v>5</v>
      </c>
    </row>
    <row r="512" spans="1:3" x14ac:dyDescent="0.2">
      <c r="A512" t="s">
        <v>33</v>
      </c>
      <c r="B512">
        <v>15.286</v>
      </c>
      <c r="C512">
        <v>1</v>
      </c>
    </row>
    <row r="513" spans="1:3" x14ac:dyDescent="0.2">
      <c r="A513" t="s">
        <v>33</v>
      </c>
      <c r="B513">
        <v>12.718</v>
      </c>
      <c r="C513">
        <v>2</v>
      </c>
    </row>
    <row r="514" spans="1:3" x14ac:dyDescent="0.2">
      <c r="A514" t="s">
        <v>33</v>
      </c>
      <c r="B514">
        <v>14.598000000000001</v>
      </c>
      <c r="C514">
        <v>6</v>
      </c>
    </row>
    <row r="515" spans="1:3" x14ac:dyDescent="0.2">
      <c r="A515" t="s">
        <v>33</v>
      </c>
      <c r="B515">
        <v>14.651999999999999</v>
      </c>
      <c r="C515">
        <v>2</v>
      </c>
    </row>
    <row r="516" spans="1:3" x14ac:dyDescent="0.2">
      <c r="A516" t="s">
        <v>33</v>
      </c>
      <c r="B516">
        <v>18.649000000000001</v>
      </c>
      <c r="C516">
        <v>3</v>
      </c>
    </row>
    <row r="517" spans="1:3" x14ac:dyDescent="0.2">
      <c r="A517" t="s">
        <v>33</v>
      </c>
      <c r="B517">
        <v>20.492999999999999</v>
      </c>
      <c r="C517">
        <v>5</v>
      </c>
    </row>
    <row r="518" spans="1:3" x14ac:dyDescent="0.2">
      <c r="A518" t="s">
        <v>33</v>
      </c>
      <c r="B518">
        <v>16.131</v>
      </c>
      <c r="C518">
        <v>9</v>
      </c>
    </row>
    <row r="519" spans="1:3" x14ac:dyDescent="0.2">
      <c r="A519" t="s">
        <v>33</v>
      </c>
      <c r="B519">
        <v>13.07</v>
      </c>
      <c r="C519">
        <v>8</v>
      </c>
    </row>
    <row r="520" spans="1:3" x14ac:dyDescent="0.2">
      <c r="A520" t="s">
        <v>33</v>
      </c>
      <c r="B520">
        <v>9.9106000000000005</v>
      </c>
      <c r="C520">
        <v>7</v>
      </c>
    </row>
    <row r="521" spans="1:3" x14ac:dyDescent="0.2">
      <c r="A521" t="s">
        <v>33</v>
      </c>
      <c r="B521">
        <v>7.0090000000000003</v>
      </c>
      <c r="C521">
        <v>9</v>
      </c>
    </row>
    <row r="522" spans="1:3" x14ac:dyDescent="0.2">
      <c r="A522" t="s">
        <v>33</v>
      </c>
      <c r="B522">
        <v>8.4412000000000003</v>
      </c>
      <c r="C522">
        <v>9</v>
      </c>
    </row>
    <row r="523" spans="1:3" x14ac:dyDescent="0.2">
      <c r="A523" t="s">
        <v>33</v>
      </c>
      <c r="B523">
        <v>10.215999999999999</v>
      </c>
      <c r="C523">
        <v>8</v>
      </c>
    </row>
    <row r="524" spans="1:3" x14ac:dyDescent="0.2">
      <c r="A524" t="s">
        <v>33</v>
      </c>
      <c r="B524">
        <v>10.775</v>
      </c>
      <c r="C524">
        <v>2</v>
      </c>
    </row>
    <row r="525" spans="1:3" x14ac:dyDescent="0.2">
      <c r="A525" t="s">
        <v>33</v>
      </c>
      <c r="B525">
        <v>13.257</v>
      </c>
      <c r="C525">
        <v>4</v>
      </c>
    </row>
    <row r="526" spans="1:3" x14ac:dyDescent="0.2">
      <c r="A526" t="s">
        <v>33</v>
      </c>
      <c r="B526">
        <v>14.494</v>
      </c>
      <c r="C526">
        <v>5</v>
      </c>
    </row>
    <row r="527" spans="1:3" x14ac:dyDescent="0.2">
      <c r="A527" t="s">
        <v>33</v>
      </c>
      <c r="B527">
        <v>16.507999999999999</v>
      </c>
      <c r="C527">
        <v>1</v>
      </c>
    </row>
    <row r="528" spans="1:3" x14ac:dyDescent="0.2">
      <c r="A528" t="s">
        <v>33</v>
      </c>
      <c r="B528">
        <v>17.349</v>
      </c>
      <c r="C528">
        <v>4</v>
      </c>
    </row>
    <row r="529" spans="1:3" x14ac:dyDescent="0.2">
      <c r="A529" t="s">
        <v>33</v>
      </c>
      <c r="B529">
        <v>20.199000000000002</v>
      </c>
      <c r="C529">
        <v>5</v>
      </c>
    </row>
    <row r="530" spans="1:3" x14ac:dyDescent="0.2">
      <c r="A530" t="s">
        <v>33</v>
      </c>
      <c r="B530">
        <v>18.951000000000001</v>
      </c>
      <c r="C530">
        <v>6</v>
      </c>
    </row>
    <row r="531" spans="1:3" x14ac:dyDescent="0.2">
      <c r="A531" t="s">
        <v>33</v>
      </c>
      <c r="B531">
        <v>19.033000000000001</v>
      </c>
      <c r="C531">
        <v>5</v>
      </c>
    </row>
    <row r="532" spans="1:3" x14ac:dyDescent="0.2">
      <c r="A532" t="s">
        <v>33</v>
      </c>
      <c r="B532">
        <v>17.030999999999999</v>
      </c>
      <c r="C532">
        <v>3</v>
      </c>
    </row>
    <row r="533" spans="1:3" x14ac:dyDescent="0.2">
      <c r="A533" t="s">
        <v>33</v>
      </c>
      <c r="B533">
        <v>13.781000000000001</v>
      </c>
      <c r="C533">
        <v>5</v>
      </c>
    </row>
    <row r="534" spans="1:3" x14ac:dyDescent="0.2">
      <c r="A534" t="s">
        <v>33</v>
      </c>
      <c r="B534">
        <v>9.6334999999999997</v>
      </c>
      <c r="C534">
        <v>7</v>
      </c>
    </row>
    <row r="535" spans="1:3" x14ac:dyDescent="0.2">
      <c r="A535" t="s">
        <v>33</v>
      </c>
      <c r="B535">
        <v>6.9840999999999998</v>
      </c>
      <c r="C535">
        <v>5</v>
      </c>
    </row>
    <row r="536" spans="1:3" x14ac:dyDescent="0.2">
      <c r="A536" t="s">
        <v>33</v>
      </c>
      <c r="B536">
        <v>7.8720999999999997</v>
      </c>
      <c r="C536">
        <v>4</v>
      </c>
    </row>
    <row r="537" spans="1:3" x14ac:dyDescent="0.2">
      <c r="A537" t="s">
        <v>33</v>
      </c>
      <c r="B537">
        <v>10.002000000000001</v>
      </c>
      <c r="C537">
        <v>5</v>
      </c>
    </row>
    <row r="538" spans="1:3" x14ac:dyDescent="0.2">
      <c r="A538" t="s">
        <v>33</v>
      </c>
      <c r="B538">
        <v>11.925000000000001</v>
      </c>
      <c r="C538">
        <v>7</v>
      </c>
    </row>
    <row r="539" spans="1:3" x14ac:dyDescent="0.2">
      <c r="A539" t="s">
        <v>33</v>
      </c>
      <c r="B539">
        <v>18.338999999999999</v>
      </c>
      <c r="C539">
        <v>4</v>
      </c>
    </row>
    <row r="540" spans="1:3" x14ac:dyDescent="0.2">
      <c r="A540" t="s">
        <v>33</v>
      </c>
      <c r="B540">
        <v>19.709</v>
      </c>
      <c r="C540">
        <v>4</v>
      </c>
    </row>
    <row r="541" spans="1:3" x14ac:dyDescent="0.2">
      <c r="A541" t="s">
        <v>33</v>
      </c>
      <c r="B541">
        <v>17.815000000000001</v>
      </c>
      <c r="C541">
        <v>6</v>
      </c>
    </row>
    <row r="542" spans="1:3" x14ac:dyDescent="0.2">
      <c r="A542" t="s">
        <v>33</v>
      </c>
      <c r="B542">
        <v>17.007999999999999</v>
      </c>
      <c r="C542">
        <v>6</v>
      </c>
    </row>
    <row r="543" spans="1:3" x14ac:dyDescent="0.2">
      <c r="A543" t="s">
        <v>33</v>
      </c>
      <c r="B543">
        <v>13.526</v>
      </c>
      <c r="C543">
        <v>5</v>
      </c>
    </row>
    <row r="544" spans="1:3" x14ac:dyDescent="0.2">
      <c r="A544" t="s">
        <v>33</v>
      </c>
      <c r="B544">
        <v>11.256</v>
      </c>
      <c r="C544">
        <v>8</v>
      </c>
    </row>
    <row r="545" spans="1:3" x14ac:dyDescent="0.2">
      <c r="A545" t="s">
        <v>33</v>
      </c>
      <c r="B545">
        <v>6.7443999999999997</v>
      </c>
      <c r="C545">
        <v>4</v>
      </c>
    </row>
    <row r="546" spans="1:3" x14ac:dyDescent="0.2">
      <c r="A546" t="s">
        <v>33</v>
      </c>
      <c r="B546">
        <v>7.7229000000000001</v>
      </c>
      <c r="C546">
        <v>7</v>
      </c>
    </row>
    <row r="547" spans="1:3" x14ac:dyDescent="0.2">
      <c r="A547" t="s">
        <v>33</v>
      </c>
      <c r="B547">
        <v>8.5731999999999999</v>
      </c>
      <c r="C547">
        <v>4</v>
      </c>
    </row>
    <row r="548" spans="1:3" x14ac:dyDescent="0.2">
      <c r="A548" t="s">
        <v>33</v>
      </c>
      <c r="B548">
        <v>10.781000000000001</v>
      </c>
      <c r="C548">
        <v>8</v>
      </c>
    </row>
    <row r="549" spans="1:3" x14ac:dyDescent="0.2">
      <c r="A549" t="s">
        <v>33</v>
      </c>
      <c r="B549">
        <v>14.593999999999999</v>
      </c>
      <c r="C549">
        <v>8</v>
      </c>
    </row>
    <row r="550" spans="1:3" x14ac:dyDescent="0.2">
      <c r="A550" t="s">
        <v>33</v>
      </c>
      <c r="B550">
        <v>17.925999999999998</v>
      </c>
      <c r="C550">
        <v>3</v>
      </c>
    </row>
    <row r="551" spans="1:3" x14ac:dyDescent="0.2">
      <c r="A551" t="s">
        <v>33</v>
      </c>
      <c r="B551">
        <v>19.074999999999999</v>
      </c>
      <c r="C551">
        <v>3</v>
      </c>
    </row>
    <row r="552" spans="1:3" x14ac:dyDescent="0.2">
      <c r="A552" t="s">
        <v>33</v>
      </c>
      <c r="B552">
        <v>17.777999999999999</v>
      </c>
      <c r="C552">
        <v>4</v>
      </c>
    </row>
    <row r="553" spans="1:3" x14ac:dyDescent="0.2">
      <c r="A553" t="s">
        <v>33</v>
      </c>
      <c r="B553">
        <v>17.004999999999999</v>
      </c>
      <c r="C553">
        <v>7</v>
      </c>
    </row>
    <row r="554" spans="1:3" x14ac:dyDescent="0.2">
      <c r="A554" t="s">
        <v>33</v>
      </c>
      <c r="B554">
        <v>13.211</v>
      </c>
      <c r="C554">
        <v>8</v>
      </c>
    </row>
    <row r="555" spans="1:3" x14ac:dyDescent="0.2">
      <c r="A555" t="s">
        <v>33</v>
      </c>
      <c r="B555">
        <v>11.587999999999999</v>
      </c>
      <c r="C555">
        <v>3</v>
      </c>
    </row>
    <row r="556" spans="1:3" x14ac:dyDescent="0.2">
      <c r="A556" t="s">
        <v>33</v>
      </c>
      <c r="B556">
        <v>10.994999999999999</v>
      </c>
      <c r="C556">
        <v>1</v>
      </c>
    </row>
    <row r="557" spans="1:3" x14ac:dyDescent="0.2">
      <c r="A557" t="s">
        <v>33</v>
      </c>
      <c r="B557">
        <v>8.1663999999999994</v>
      </c>
      <c r="C557">
        <v>6</v>
      </c>
    </row>
    <row r="558" spans="1:3" x14ac:dyDescent="0.2">
      <c r="A558" t="s">
        <v>33</v>
      </c>
      <c r="B558">
        <v>9.8925999999999998</v>
      </c>
      <c r="C558">
        <v>3</v>
      </c>
    </row>
    <row r="559" spans="1:3" x14ac:dyDescent="0.2">
      <c r="A559" t="s">
        <v>33</v>
      </c>
      <c r="B559">
        <v>13.811</v>
      </c>
      <c r="C559">
        <v>1</v>
      </c>
    </row>
    <row r="560" spans="1:3" x14ac:dyDescent="0.2">
      <c r="A560" t="s">
        <v>33</v>
      </c>
      <c r="B560">
        <v>17.126000000000001</v>
      </c>
      <c r="C560">
        <v>3</v>
      </c>
    </row>
    <row r="561" spans="1:3" x14ac:dyDescent="0.2">
      <c r="A561" t="s">
        <v>33</v>
      </c>
      <c r="B561">
        <v>18.513000000000002</v>
      </c>
      <c r="C561">
        <v>9</v>
      </c>
    </row>
    <row r="562" spans="1:3" x14ac:dyDescent="0.2">
      <c r="A562" t="s">
        <v>33</v>
      </c>
      <c r="B562">
        <v>17.960999999999999</v>
      </c>
      <c r="C562">
        <v>5</v>
      </c>
    </row>
    <row r="563" spans="1:3" x14ac:dyDescent="0.2">
      <c r="A563" t="s">
        <v>33</v>
      </c>
      <c r="B563">
        <v>17.768000000000001</v>
      </c>
      <c r="C563">
        <v>1</v>
      </c>
    </row>
    <row r="564" spans="1:3" x14ac:dyDescent="0.2">
      <c r="A564" t="s">
        <v>33</v>
      </c>
      <c r="B564">
        <v>17.329999999999998</v>
      </c>
      <c r="C564">
        <v>4</v>
      </c>
    </row>
    <row r="565" spans="1:3" x14ac:dyDescent="0.2">
      <c r="A565" t="s">
        <v>33</v>
      </c>
      <c r="B565">
        <v>15.333</v>
      </c>
      <c r="C565">
        <v>4</v>
      </c>
    </row>
    <row r="566" spans="1:3" x14ac:dyDescent="0.2">
      <c r="A566" t="s">
        <v>33</v>
      </c>
      <c r="B566">
        <v>14.874000000000001</v>
      </c>
      <c r="C566">
        <v>8</v>
      </c>
    </row>
    <row r="567" spans="1:3" x14ac:dyDescent="0.2">
      <c r="A567" t="s">
        <v>33</v>
      </c>
      <c r="B567">
        <v>15.56</v>
      </c>
      <c r="C567">
        <v>4</v>
      </c>
    </row>
    <row r="568" spans="1:3" x14ac:dyDescent="0.2">
      <c r="A568" t="s">
        <v>33</v>
      </c>
      <c r="B568">
        <v>16.332999999999998</v>
      </c>
      <c r="C568">
        <v>8</v>
      </c>
    </row>
    <row r="569" spans="1:3" x14ac:dyDescent="0.2">
      <c r="A569" t="s">
        <v>33</v>
      </c>
      <c r="B569">
        <v>7.2125000000000004</v>
      </c>
      <c r="C569">
        <v>5</v>
      </c>
    </row>
    <row r="570" spans="1:3" x14ac:dyDescent="0.2">
      <c r="A570" t="s">
        <v>33</v>
      </c>
      <c r="B570">
        <v>4.9318</v>
      </c>
      <c r="C570">
        <v>6</v>
      </c>
    </row>
    <row r="571" spans="1:3" x14ac:dyDescent="0.2">
      <c r="A571" t="s">
        <v>33</v>
      </c>
      <c r="B571">
        <v>15.162000000000001</v>
      </c>
      <c r="C571">
        <v>5</v>
      </c>
    </row>
    <row r="572" spans="1:3" x14ac:dyDescent="0.2">
      <c r="A572" t="s">
        <v>33</v>
      </c>
      <c r="B572">
        <v>16.582000000000001</v>
      </c>
      <c r="C572">
        <v>5</v>
      </c>
    </row>
    <row r="573" spans="1:3" x14ac:dyDescent="0.2">
      <c r="A573" t="s">
        <v>33</v>
      </c>
      <c r="B573">
        <v>13.052</v>
      </c>
      <c r="C573">
        <v>6</v>
      </c>
    </row>
    <row r="574" spans="1:3" x14ac:dyDescent="0.2">
      <c r="A574" t="s">
        <v>33</v>
      </c>
      <c r="B574">
        <v>8.4289000000000005</v>
      </c>
      <c r="C574">
        <v>7</v>
      </c>
    </row>
    <row r="575" spans="1:3" x14ac:dyDescent="0.2">
      <c r="A575" t="s">
        <v>33</v>
      </c>
      <c r="B575">
        <v>7.2557</v>
      </c>
      <c r="C575">
        <v>8</v>
      </c>
    </row>
    <row r="576" spans="1:3" x14ac:dyDescent="0.2">
      <c r="A576" t="s">
        <v>33</v>
      </c>
      <c r="B576">
        <v>5.3202999999999996</v>
      </c>
      <c r="C576">
        <v>9</v>
      </c>
    </row>
    <row r="577" spans="1:3" x14ac:dyDescent="0.2">
      <c r="A577" t="s">
        <v>33</v>
      </c>
      <c r="B577">
        <v>4.4207999999999998</v>
      </c>
      <c r="C577">
        <v>9</v>
      </c>
    </row>
    <row r="578" spans="1:3" x14ac:dyDescent="0.2">
      <c r="A578" t="s">
        <v>33</v>
      </c>
      <c r="B578">
        <v>3.2119</v>
      </c>
      <c r="C578">
        <v>9</v>
      </c>
    </row>
    <row r="579" spans="1:3" x14ac:dyDescent="0.2">
      <c r="A579" t="s">
        <v>33</v>
      </c>
      <c r="B579">
        <v>2.9611000000000001</v>
      </c>
      <c r="C579">
        <v>9</v>
      </c>
    </row>
    <row r="580" spans="1:3" x14ac:dyDescent="0.2">
      <c r="A580" t="s">
        <v>33</v>
      </c>
      <c r="B580">
        <v>4.5125999999999999</v>
      </c>
      <c r="C580">
        <v>9</v>
      </c>
    </row>
    <row r="581" spans="1:3" x14ac:dyDescent="0.2">
      <c r="A581" t="s">
        <v>33</v>
      </c>
      <c r="B581">
        <v>4.5208000000000004</v>
      </c>
      <c r="C581">
        <v>7</v>
      </c>
    </row>
    <row r="582" spans="1:3" x14ac:dyDescent="0.2">
      <c r="A582" t="s">
        <v>33</v>
      </c>
      <c r="B582">
        <v>3.8098000000000001</v>
      </c>
      <c r="C582">
        <v>9</v>
      </c>
    </row>
    <row r="583" spans="1:3" x14ac:dyDescent="0.2">
      <c r="A583" t="s">
        <v>33</v>
      </c>
      <c r="B583">
        <v>2.9613</v>
      </c>
      <c r="C583">
        <v>9</v>
      </c>
    </row>
    <row r="584" spans="1:3" x14ac:dyDescent="0.2">
      <c r="A584" t="s">
        <v>33</v>
      </c>
      <c r="B584">
        <v>2.8552</v>
      </c>
      <c r="C584">
        <v>6</v>
      </c>
    </row>
    <row r="585" spans="1:3" x14ac:dyDescent="0.2">
      <c r="A585" t="s">
        <v>33</v>
      </c>
      <c r="B585">
        <v>9.4197000000000006</v>
      </c>
      <c r="C585">
        <v>6</v>
      </c>
    </row>
    <row r="586" spans="1:3" x14ac:dyDescent="0.2">
      <c r="A586" t="s">
        <v>33</v>
      </c>
      <c r="B586">
        <v>9.7348999999999997</v>
      </c>
      <c r="C586">
        <v>8</v>
      </c>
    </row>
    <row r="587" spans="1:3" x14ac:dyDescent="0.2">
      <c r="A587" t="s">
        <v>33</v>
      </c>
      <c r="B587">
        <v>1.2727999999999999</v>
      </c>
      <c r="C587">
        <v>9</v>
      </c>
    </row>
    <row r="588" spans="1:3" x14ac:dyDescent="0.2">
      <c r="A588" t="s">
        <v>33</v>
      </c>
      <c r="B588">
        <v>1.1536999999999999</v>
      </c>
      <c r="C588">
        <v>7</v>
      </c>
    </row>
    <row r="589" spans="1:3" x14ac:dyDescent="0.2">
      <c r="A589" t="s">
        <v>33</v>
      </c>
      <c r="B589">
        <v>0.93869999999999998</v>
      </c>
      <c r="C589">
        <v>9</v>
      </c>
    </row>
    <row r="590" spans="1:3" x14ac:dyDescent="0.2">
      <c r="A590" t="s">
        <v>33</v>
      </c>
      <c r="B590">
        <v>1.5825</v>
      </c>
      <c r="C590">
        <v>9</v>
      </c>
    </row>
    <row r="591" spans="1:3" x14ac:dyDescent="0.2">
      <c r="A591" t="s">
        <v>33</v>
      </c>
      <c r="B591">
        <v>1.5425</v>
      </c>
      <c r="C591">
        <v>7</v>
      </c>
    </row>
    <row r="592" spans="1:3" x14ac:dyDescent="0.2">
      <c r="A592" t="s">
        <v>33</v>
      </c>
      <c r="B592">
        <v>1.9041999999999999</v>
      </c>
      <c r="C592">
        <v>5</v>
      </c>
    </row>
    <row r="593" spans="1:3" x14ac:dyDescent="0.2">
      <c r="A593" t="s">
        <v>33</v>
      </c>
      <c r="B593">
        <v>2.0371000000000001</v>
      </c>
      <c r="C593">
        <v>8</v>
      </c>
    </row>
    <row r="594" spans="1:3" x14ac:dyDescent="0.2">
      <c r="A594" t="s">
        <v>33</v>
      </c>
      <c r="B594">
        <v>0.99390000000000001</v>
      </c>
      <c r="C594">
        <v>9</v>
      </c>
    </row>
    <row r="595" spans="1:3" x14ac:dyDescent="0.2">
      <c r="A595" t="s">
        <v>33</v>
      </c>
      <c r="B595">
        <v>1.1789000000000001</v>
      </c>
      <c r="C595">
        <v>9</v>
      </c>
    </row>
    <row r="596" spans="1:3" x14ac:dyDescent="0.2">
      <c r="A596" t="s">
        <v>33</v>
      </c>
      <c r="B596">
        <v>0.4627</v>
      </c>
      <c r="C596">
        <v>9</v>
      </c>
    </row>
    <row r="597" spans="1:3" x14ac:dyDescent="0.2">
      <c r="A597" t="s">
        <v>33</v>
      </c>
      <c r="B597">
        <v>1.484</v>
      </c>
      <c r="C597">
        <v>8</v>
      </c>
    </row>
    <row r="598" spans="1:3" x14ac:dyDescent="0.2">
      <c r="A598" t="s">
        <v>33</v>
      </c>
      <c r="B598">
        <v>2.2081</v>
      </c>
      <c r="C598">
        <v>8</v>
      </c>
    </row>
    <row r="599" spans="1:3" x14ac:dyDescent="0.2">
      <c r="A599" t="s">
        <v>33</v>
      </c>
      <c r="B599">
        <v>8.5579000000000001</v>
      </c>
      <c r="C599">
        <v>8</v>
      </c>
    </row>
    <row r="600" spans="1:3" x14ac:dyDescent="0.2">
      <c r="A600" t="s">
        <v>33</v>
      </c>
      <c r="B600">
        <v>2.8134000000000001</v>
      </c>
      <c r="C600">
        <v>8</v>
      </c>
    </row>
    <row r="601" spans="1:3" x14ac:dyDescent="0.2">
      <c r="A601" t="s">
        <v>33</v>
      </c>
      <c r="B601">
        <v>3.444</v>
      </c>
      <c r="C601">
        <v>9</v>
      </c>
    </row>
    <row r="602" spans="1:3" x14ac:dyDescent="0.2">
      <c r="A602" t="s">
        <v>33</v>
      </c>
      <c r="B602">
        <v>3.2250000000000001</v>
      </c>
      <c r="C602">
        <v>7</v>
      </c>
    </row>
    <row r="603" spans="1:3" x14ac:dyDescent="0.2">
      <c r="A603" t="s">
        <v>33</v>
      </c>
      <c r="B603">
        <v>2.6558999999999999</v>
      </c>
      <c r="C603">
        <v>9</v>
      </c>
    </row>
    <row r="604" spans="1:3" x14ac:dyDescent="0.2">
      <c r="A604" t="s">
        <v>33</v>
      </c>
      <c r="B604">
        <v>3.8290999999999999</v>
      </c>
      <c r="C604">
        <v>8</v>
      </c>
    </row>
    <row r="605" spans="1:3" x14ac:dyDescent="0.2">
      <c r="A605" t="s">
        <v>33</v>
      </c>
      <c r="B605">
        <v>4.3620000000000001</v>
      </c>
      <c r="C605">
        <v>4</v>
      </c>
    </row>
    <row r="606" spans="1:3" x14ac:dyDescent="0.2">
      <c r="A606" t="s">
        <v>33</v>
      </c>
      <c r="B606">
        <v>2.8624000000000001</v>
      </c>
      <c r="C606">
        <v>6</v>
      </c>
    </row>
    <row r="607" spans="1:3" x14ac:dyDescent="0.2">
      <c r="A607" t="s">
        <v>33</v>
      </c>
      <c r="B607">
        <v>1.3547</v>
      </c>
      <c r="C607">
        <v>7</v>
      </c>
    </row>
    <row r="608" spans="1:3" x14ac:dyDescent="0.2">
      <c r="A608" t="s">
        <v>33</v>
      </c>
      <c r="B608">
        <v>0.83979999999999999</v>
      </c>
      <c r="C608">
        <v>9</v>
      </c>
    </row>
    <row r="609" spans="1:3" x14ac:dyDescent="0.2">
      <c r="A609" t="s">
        <v>33</v>
      </c>
      <c r="B609">
        <v>1.7248000000000001</v>
      </c>
      <c r="C609">
        <v>8</v>
      </c>
    </row>
  </sheetData>
  <sortState xmlns:xlrd2="http://schemas.microsoft.com/office/spreadsheetml/2017/richdata2" ref="A1:C609">
    <sortCondition ref="A1:A6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SYNGR1</vt:lpstr>
      <vt:lpstr>Sheet4</vt:lpstr>
      <vt:lpstr>SV2A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Karagöl</dc:creator>
  <cp:lastModifiedBy>Taner Karagöl</cp:lastModifiedBy>
  <dcterms:created xsi:type="dcterms:W3CDTF">2025-05-05T16:33:43Z</dcterms:created>
  <dcterms:modified xsi:type="dcterms:W3CDTF">2025-05-08T14:22:51Z</dcterms:modified>
</cp:coreProperties>
</file>